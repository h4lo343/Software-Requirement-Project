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S:\Medical_Rad\ACDS\Research and development\ACDS IT Projects\Projects and Proposals\Calibration Data_Clover\"/>
    </mc:Choice>
  </mc:AlternateContent>
  <xr:revisionPtr revIDLastSave="0" documentId="13_ncr:1_{A4F188C5-1E73-4AB2-A5BD-8F8194C0687D}" xr6:coauthVersionLast="46" xr6:coauthVersionMax="46" xr10:uidLastSave="{00000000-0000-0000-0000-000000000000}"/>
  <bookViews>
    <workbookView xWindow="-120" yWindow="-120" windowWidth="29040" windowHeight="15840" tabRatio="650" activeTab="1" xr2:uid="{00000000-000D-0000-FFFF-FFFF00000000}"/>
  </bookViews>
  <sheets>
    <sheet name="Info" sheetId="4" r:id="rId1"/>
    <sheet name="Data" sheetId="2" r:id="rId2"/>
  </sheets>
  <functionGroups builtInGroupCount="19"/>
  <externalReferences>
    <externalReference r:id="rId3"/>
  </externalReferences>
  <definedNames>
    <definedName name="PhotonChambers">[1]Data!$B$5:$H$5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35" i="2" l="1"/>
  <c r="B33" i="2"/>
  <c r="B34" i="2"/>
  <c r="B31" i="2"/>
  <c r="B32" i="2"/>
  <c r="U111" i="2" l="1"/>
  <c r="U110" i="2"/>
  <c r="B83" i="2" l="1"/>
  <c r="B82" i="2"/>
  <c r="B81" i="2"/>
  <c r="B80" i="2"/>
  <c r="B79" i="2"/>
  <c r="B78" i="2"/>
  <c r="B77" i="2"/>
  <c r="B76" i="2"/>
  <c r="B75" i="2"/>
  <c r="B74" i="2"/>
  <c r="B73" i="2"/>
  <c r="B67" i="2"/>
  <c r="B66" i="2"/>
  <c r="B65" i="2"/>
  <c r="B64" i="2"/>
  <c r="BG63" i="2"/>
  <c r="BF63" i="2"/>
  <c r="BE63" i="2"/>
  <c r="BD63" i="2"/>
  <c r="BC63" i="2"/>
  <c r="BB63" i="2"/>
  <c r="BA63" i="2"/>
  <c r="AZ63" i="2"/>
  <c r="AY63" i="2"/>
  <c r="AX63" i="2"/>
  <c r="AW63" i="2"/>
  <c r="AV63" i="2"/>
  <c r="AU63" i="2"/>
  <c r="AT63" i="2"/>
  <c r="AS63" i="2"/>
  <c r="AR63" i="2"/>
  <c r="AQ63" i="2"/>
  <c r="AP63" i="2"/>
  <c r="AO63" i="2"/>
  <c r="AN63" i="2"/>
  <c r="AM63" i="2"/>
  <c r="AL63" i="2"/>
  <c r="AK63" i="2"/>
  <c r="AJ63" i="2"/>
  <c r="B63" i="2"/>
  <c r="B62" i="2"/>
  <c r="B61" i="2"/>
  <c r="B60" i="2"/>
  <c r="B59" i="2"/>
  <c r="B58" i="2"/>
  <c r="B57" i="2"/>
  <c r="B56" i="2"/>
  <c r="B55" i="2"/>
  <c r="B54" i="2"/>
  <c r="B53" i="2"/>
  <c r="B52" i="2"/>
  <c r="B51" i="2"/>
  <c r="B50" i="2"/>
  <c r="B49" i="2"/>
  <c r="B48" i="2"/>
  <c r="B47" i="2"/>
  <c r="BG44" i="2"/>
  <c r="BF44" i="2"/>
  <c r="BE44" i="2"/>
  <c r="BD44" i="2"/>
  <c r="BC44" i="2"/>
  <c r="BB44" i="2"/>
  <c r="BA44" i="2"/>
  <c r="AZ44" i="2"/>
  <c r="AY44" i="2"/>
  <c r="AX44" i="2"/>
  <c r="AW44" i="2"/>
  <c r="AV44" i="2"/>
  <c r="AU44" i="2"/>
  <c r="AT44" i="2"/>
  <c r="AS44" i="2"/>
  <c r="AR44" i="2"/>
  <c r="AQ44" i="2"/>
  <c r="AP44" i="2"/>
  <c r="AO44" i="2"/>
  <c r="AN44" i="2"/>
  <c r="AM44" i="2"/>
  <c r="AL44" i="2"/>
  <c r="AK44" i="2"/>
  <c r="AJ44" i="2"/>
  <c r="B42" i="2"/>
  <c r="B41" i="2"/>
  <c r="B40" i="2"/>
  <c r="B39" i="2"/>
  <c r="B38" i="2"/>
  <c r="B30" i="2"/>
  <c r="B29" i="2"/>
  <c r="B28" i="2"/>
  <c r="B27" i="2"/>
  <c r="B26" i="2"/>
  <c r="BG25" i="2"/>
  <c r="BF25" i="2"/>
  <c r="BE25" i="2"/>
  <c r="BD25" i="2"/>
  <c r="BC25" i="2"/>
  <c r="BB25" i="2"/>
  <c r="BA25" i="2"/>
  <c r="AZ25" i="2"/>
  <c r="AY25" i="2"/>
  <c r="AX25" i="2"/>
  <c r="AW25" i="2"/>
  <c r="AV25" i="2"/>
  <c r="AU25" i="2"/>
  <c r="AT25" i="2"/>
  <c r="AS25" i="2"/>
  <c r="AR25" i="2"/>
  <c r="AQ25" i="2"/>
  <c r="AP25" i="2"/>
  <c r="AO25" i="2"/>
  <c r="AN25" i="2"/>
  <c r="AM25" i="2"/>
  <c r="AL25" i="2"/>
  <c r="AK25" i="2"/>
  <c r="AJ25" i="2"/>
  <c r="B25" i="2"/>
  <c r="B24" i="2"/>
  <c r="B23" i="2"/>
  <c r="B22" i="2"/>
  <c r="B21" i="2"/>
  <c r="B20" i="2"/>
  <c r="B19" i="2"/>
  <c r="B18" i="2"/>
  <c r="B17" i="2"/>
  <c r="B16" i="2"/>
  <c r="B15" i="2"/>
  <c r="B14" i="2"/>
  <c r="B13" i="2"/>
  <c r="B12" i="2"/>
  <c r="B11" i="2"/>
  <c r="B10" i="2"/>
  <c r="B9" i="2"/>
  <c r="B8" i="2"/>
  <c r="B7" i="2"/>
  <c r="B6" i="2"/>
  <c r="D8"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tc={D2062BF3-8337-4FFB-AD54-1E9C747E5ED8}</author>
    <author>tc={202BB721-002F-4126-A09E-44F4FAB8CC58}</author>
    <author>tc={F0B06A92-3F92-405B-87A4-0F93DEBC6B11}</author>
    <author>Kate Francis</author>
    <author>alvesa</author>
    <author>Andrew Alves</author>
    <author>tc={86336717-4BD1-48FB-9965-B4110341A883}</author>
    <author>tc={162D0B05-7291-4F73-B583-C9FE2A857C35}</author>
    <author>tc={1AA1FE86-AD56-4243-9956-863507672514}</author>
    <author>tc={E43B60E9-25B4-4317-A442-1515C92E6BBE}</author>
    <author>tc={5E343F8C-2F30-45AB-B38B-195792FED137}</author>
    <author>tc={6E8D8C37-065E-4000-9F39-6548D86258B7}</author>
    <author>tc={96928C27-55B6-48F0-A91E-B5067BCAF771}</author>
    <author>tc={8AEF9230-63E8-4275-AD7E-76C4907BB7AA}</author>
    <author>tc={84346471-C93E-4CC7-A9D1-24FA07187892}</author>
    <author>Cate Davey</author>
    <author>tc={ECE7D100-25DB-4759-9331-EAABB3C285AF}</author>
    <author>Fayz Kadeer</author>
  </authors>
  <commentList>
    <comment ref="F4" authorId="0" shapeId="0" xr:uid="{D2062BF3-8337-4FFB-AD54-1E9C747E5ED8}">
      <text>
        <t>[Threaded comment]
Your version of Excel allows you to read this threaded comment; however, any edits to it will get removed if the file is opened in a newer version of Excel. Learn more: https://go.microsoft.com/fwlink/?linkid=870924
Comment:
    Calibration factor in terms of absorbed dose to water for a dosimeter at a reference beam
quality Q_o</t>
      </text>
    </comment>
    <comment ref="G4" authorId="1" shapeId="0" xr:uid="{202BB721-002F-4126-A09E-44F4FAB8CC58}">
      <text>
        <t>[Threaded comment]
Your version of Excel allows you to read this threaded comment; however, any edits to it will get removed if the file is opened in a newer version of Excel. Learn more: https://go.microsoft.com/fwlink/?linkid=870924
Comment:
    Factor to correct the response of an ionization chamber for the lack of complete charge
collection (due to ion recombination</t>
      </text>
    </comment>
    <comment ref="N4" authorId="2" shapeId="0" xr:uid="{F0B06A92-3F92-405B-87A4-0F93DEBC6B11}">
      <text>
        <t>[Threaded comment]
Your version of Excel allows you to read this threaded comment; however, any edits to it will get removed if the file is opened in a newer version of Excel. Learn more: https://go.microsoft.com/fwlink/?linkid=870924
Comment:
    Factor to correct the response of an ionization chamber for the effect of a change in polarity
of the polarizing voltage applied to the chamber</t>
      </text>
    </comment>
    <comment ref="C5" authorId="3" shapeId="0" xr:uid="{2D28B239-6598-466F-9C71-FE2043F8A92C}">
      <text>
        <r>
          <rPr>
            <b/>
            <sz val="9"/>
            <color indexed="81"/>
            <rFont val="Tahoma"/>
            <charset val="1"/>
          </rPr>
          <t>Kate Francis:</t>
        </r>
        <r>
          <rPr>
            <sz val="9"/>
            <color indexed="81"/>
            <rFont val="Tahoma"/>
            <charset val="1"/>
          </rPr>
          <t xml:space="preserve">
serial number - unique identifier</t>
        </r>
      </text>
    </comment>
    <comment ref="I5" authorId="4" shapeId="0" xr:uid="{00000000-0006-0000-0100-000001000000}">
      <text>
        <r>
          <rPr>
            <b/>
            <sz val="9"/>
            <color indexed="81"/>
            <rFont val="Calibri"/>
            <family val="2"/>
            <scheme val="minor"/>
          </rPr>
          <t>Fayz Kadeer:</t>
        </r>
        <r>
          <rPr>
            <sz val="9"/>
            <color indexed="81"/>
            <rFont val="Calibri"/>
            <family val="2"/>
            <scheme val="minor"/>
          </rPr>
          <t xml:space="preserve">
from file 20161202 - Recombinations for FFF beams.
CC13's are average of measurements from 10 facilities</t>
        </r>
      </text>
    </comment>
    <comment ref="K5" authorId="4" shapeId="0" xr:uid="{00000000-0006-0000-0100-000002000000}">
      <text>
        <r>
          <rPr>
            <b/>
            <sz val="9"/>
            <color indexed="81"/>
            <rFont val="Calibri"/>
            <family val="2"/>
            <scheme val="minor"/>
          </rPr>
          <t>Fayz Kadeer:</t>
        </r>
        <r>
          <rPr>
            <sz val="9"/>
            <color indexed="81"/>
            <rFont val="Calibri"/>
            <family val="2"/>
            <scheme val="minor"/>
          </rPr>
          <t xml:space="preserve">
from file 20161202 - Recombinations for FFF beams.
CC13's are average of measurements from 10 facilities</t>
        </r>
      </text>
    </comment>
    <comment ref="L5" authorId="5" shapeId="0" xr:uid="{00000000-0006-0000-0100-000003000000}">
      <text>
        <r>
          <rPr>
            <sz val="9"/>
            <color indexed="81"/>
            <rFont val="Calibri"/>
            <family val="2"/>
            <scheme val="minor"/>
          </rPr>
          <t>Have not measured this quantity. Using the average of 10X and 18X for the default value</t>
        </r>
      </text>
    </comment>
    <comment ref="P5" authorId="4" shapeId="0" xr:uid="{00000000-0006-0000-0100-000004000000}">
      <text>
        <r>
          <rPr>
            <b/>
            <sz val="9"/>
            <color indexed="81"/>
            <rFont val="Calibri"/>
            <family val="2"/>
            <scheme val="minor"/>
          </rPr>
          <t>Fayz Kadeer:</t>
        </r>
        <r>
          <rPr>
            <sz val="9"/>
            <color indexed="81"/>
            <rFont val="Calibri"/>
            <family val="2"/>
            <scheme val="minor"/>
          </rPr>
          <t xml:space="preserve">
from file 20161202 - Recombinations for FFF beams.
CC13's are average of measurements from 10 facilities</t>
        </r>
      </text>
    </comment>
    <comment ref="R5" authorId="4" shapeId="0" xr:uid="{00000000-0006-0000-0100-000005000000}">
      <text>
        <r>
          <rPr>
            <b/>
            <sz val="9"/>
            <color indexed="81"/>
            <rFont val="Calibri"/>
            <family val="2"/>
            <scheme val="minor"/>
          </rPr>
          <t>Fayz Kadeer:</t>
        </r>
        <r>
          <rPr>
            <sz val="9"/>
            <color indexed="81"/>
            <rFont val="Calibri"/>
            <family val="2"/>
            <scheme val="minor"/>
          </rPr>
          <t xml:space="preserve">
from file 20161202 - Recombinations for FFF beams.
CC13's are average of measurements from 10 facilities</t>
        </r>
      </text>
    </comment>
    <comment ref="S5" authorId="5" shapeId="0" xr:uid="{00000000-0006-0000-0100-000006000000}">
      <text>
        <r>
          <rPr>
            <sz val="9"/>
            <color indexed="81"/>
            <rFont val="Calibri"/>
            <family val="2"/>
            <scheme val="minor"/>
          </rPr>
          <t>Have not measure this quantity. Using the average of 10X and 18X for the default value</t>
        </r>
      </text>
    </comment>
    <comment ref="X5" authorId="6" shapeId="0" xr:uid="{86336717-4BD1-48FB-9965-B4110341A883}">
      <text>
        <t>[Threaded comment]
Your version of Excel allows you to read this threaded comment; however, any edits to it will get removed if the file is opened in a newer version of Excel. Learn more: https://go.microsoft.com/fwlink/?linkid=870924
Comment:
    Correction factor to account for magnetic field</t>
      </text>
    </comment>
    <comment ref="A6" authorId="7" shapeId="0" xr:uid="{162D0B05-7291-4F73-B583-C9FE2A857C35}">
      <text>
        <t>[Threaded comment]
Your version of Excel allows you to read this threaded comment; however, any edits to it will get removed if the file is opened in a newer version of Excel. Learn more: https://go.microsoft.com/fwlink/?linkid=870924
Comment:
    Farmar Chamber</t>
      </text>
    </comment>
    <comment ref="B6" authorId="3" shapeId="0" xr:uid="{F3584370-03E3-4CCD-AB15-CA754426EEA9}">
      <text>
        <r>
          <rPr>
            <b/>
            <sz val="9"/>
            <color indexed="81"/>
            <rFont val="Tahoma"/>
            <charset val="1"/>
          </rPr>
          <t>Kate Francis:</t>
        </r>
        <r>
          <rPr>
            <sz val="9"/>
            <color indexed="81"/>
            <rFont val="Tahoma"/>
            <charset val="1"/>
          </rPr>
          <t xml:space="preserve">
calibration data can be used for three years. This is expired if calibration report date is more than three years from today</t>
        </r>
      </text>
    </comment>
    <comment ref="E6" authorId="8" shapeId="0" xr:uid="{1AA1FE86-AD56-4243-9956-863507672514}">
      <text>
        <t>[Threaded comment]
Your version of Excel allows you to read this threaded comment; however, any edits to it will get removed if the file is opened in a newer version of Excel. Learn more: https://go.microsoft.com/fwlink/?linkid=870924
Comment:
    Calibration certification number</t>
      </text>
    </comment>
    <comment ref="A19" authorId="9" shapeId="0" xr:uid="{E43B60E9-25B4-4317-A442-1515C92E6BBE}">
      <text>
        <t>[Threaded comment]
Your version of Excel allows you to read this threaded comment; however, any edits to it will get removed if the file is opened in a newer version of Excel. Learn more: https://go.microsoft.com/fwlink/?linkid=870924
Comment:
    Compact Chamber</t>
      </text>
    </comment>
    <comment ref="AL25" authorId="3" shapeId="0" xr:uid="{379307E3-D568-412F-A2DF-6208A23EF7B6}">
      <text>
        <r>
          <rPr>
            <b/>
            <sz val="9"/>
            <color indexed="81"/>
            <rFont val="Tahoma"/>
            <charset val="1"/>
          </rPr>
          <t>Kate Francis:</t>
        </r>
        <r>
          <rPr>
            <sz val="9"/>
            <color indexed="81"/>
            <rFont val="Tahoma"/>
            <charset val="1"/>
          </rPr>
          <t xml:space="preserve">
copies name of chamber from table 26</t>
        </r>
      </text>
    </comment>
    <comment ref="F36" authorId="10" shapeId="0" xr:uid="{5E343F8C-2F30-45AB-B38B-195792FED137}">
      <text>
        <t>[Threaded comment]
Your version of Excel allows you to read this threaded comment; however, any edits to it will get removed if the file is opened in a newer version of Excel. Learn more: https://go.microsoft.com/fwlink/?linkid=870924
Comment:
    Calibration factor in terms of water of absorbed dose for a dosimeter cross calibrated with another chamber</t>
      </text>
    </comment>
    <comment ref="A38" authorId="11" shapeId="0" xr:uid="{6E8D8C37-065E-4000-9F39-6548D86258B7}">
      <text>
        <t>[Threaded comment]
Your version of Excel allows you to read this threaded comment; however, any edits to it will get removed if the file is opened in a newer version of Excel. Learn more: https://go.microsoft.com/fwlink/?linkid=870924
Comment:
    Roos Chamber</t>
      </text>
    </comment>
    <comment ref="A47" authorId="12" shapeId="0" xr:uid="{96928C27-55B6-48F0-A91E-B5067BCAF771}">
      <text>
        <t>[Threaded comment]
Your version of Excel allows you to read this threaded comment; however, any edits to it will get removed if the file is opened in a newer version of Excel. Learn more: https://go.microsoft.com/fwlink/?linkid=870924
Comment:
    Single channel electrometer</t>
      </text>
    </comment>
    <comment ref="A55" authorId="13" shapeId="0" xr:uid="{8AEF9230-63E8-4275-AD7E-76C4907BB7AA}">
      <text>
        <t>[Threaded comment]
Your version of Excel allows you to read this threaded comment; however, any edits to it will get removed if the file is opened in a newer version of Excel. Learn more: https://go.microsoft.com/fwlink/?linkid=870924
Comment:
    dual channel electrometer</t>
      </text>
    </comment>
    <comment ref="P58" authorId="5" shapeId="0" xr:uid="{00000000-0006-0000-0100-000007000000}">
      <text>
        <r>
          <rPr>
            <b/>
            <sz val="9"/>
            <color indexed="81"/>
            <rFont val="Tahoma"/>
            <family val="2"/>
          </rPr>
          <t>Andrew Alves:</t>
        </r>
        <r>
          <rPr>
            <sz val="9"/>
            <color indexed="81"/>
            <rFont val="Tahoma"/>
            <family val="2"/>
          </rPr>
          <t xml:space="preserve">
Form PSDL data  Aug 2018 for 30013, 2571 and FC65-G chambers.</t>
        </r>
      </text>
    </comment>
    <comment ref="A64" authorId="14" shapeId="0" xr:uid="{84346471-C93E-4CC7-A9D1-24FA07187892}">
      <text>
        <t>[Threaded comment]
Your version of Excel allows you to read this threaded comment; however, any edits to it will get removed if the file is opened in a newer version of Excel. Learn more: https://go.microsoft.com/fwlink/?linkid=870924
Comment:
    Multi-channel electrometer</t>
      </text>
    </comment>
    <comment ref="U71" authorId="15" shapeId="0" xr:uid="{00000000-0006-0000-0100-000008000000}">
      <text>
        <r>
          <rPr>
            <b/>
            <sz val="9"/>
            <color indexed="81"/>
            <rFont val="Tahoma"/>
            <family val="2"/>
          </rPr>
          <t>Cate Davey:</t>
        </r>
        <r>
          <rPr>
            <sz val="9"/>
            <color indexed="81"/>
            <rFont val="Tahoma"/>
            <family val="2"/>
          </rPr>
          <t xml:space="preserve">
0.5 cm are the same numbers as the 1 cm k_perp. It's only there so that the TREND function in excel doesn't give an error when the field size is 1 cm.</t>
        </r>
      </text>
    </comment>
    <comment ref="C72" authorId="3" shapeId="0" xr:uid="{79319E75-525D-46BE-8190-E111D01309DD}">
      <text>
        <r>
          <rPr>
            <b/>
            <sz val="9"/>
            <color indexed="81"/>
            <rFont val="Tahoma"/>
            <charset val="1"/>
          </rPr>
          <t>Kate Francis:</t>
        </r>
        <r>
          <rPr>
            <sz val="9"/>
            <color indexed="81"/>
            <rFont val="Tahoma"/>
            <charset val="1"/>
          </rPr>
          <t xml:space="preserve">
serial number</t>
        </r>
      </text>
    </comment>
    <comment ref="A74" authorId="16" shapeId="0" xr:uid="{ECE7D100-25DB-4759-9331-EAABB3C285AF}">
      <text>
        <t>[Threaded comment]
Your version of Excel allows you to read this threaded comment; however, any edits to it will get removed if the file is opened in a newer version of Excel. Learn more: https://go.microsoft.com/fwlink/?linkid=870924
Comment:
    Microdiamond Detector</t>
      </text>
    </comment>
    <comment ref="O144" authorId="17" shapeId="0" xr:uid="{00000000-0006-0000-0100-000009000000}">
      <text>
        <r>
          <rPr>
            <b/>
            <sz val="9"/>
            <color indexed="81"/>
            <rFont val="Tahoma"/>
            <family val="2"/>
          </rPr>
          <t>Fayz Kadeer:</t>
        </r>
        <r>
          <rPr>
            <sz val="9"/>
            <color indexed="81"/>
            <rFont val="Tahoma"/>
            <family val="2"/>
          </rPr>
          <t xml:space="preserve">
Taken from the average depth over ~20 degree intervals.. Kinda dubious but the best we have for now</t>
        </r>
      </text>
    </comment>
    <comment ref="O145" authorId="17" shapeId="0" xr:uid="{00000000-0006-0000-0100-00000A000000}">
      <text>
        <r>
          <rPr>
            <b/>
            <sz val="9"/>
            <color indexed="81"/>
            <rFont val="Tahoma"/>
            <family val="2"/>
          </rPr>
          <t>Fayz Kadeer:</t>
        </r>
        <r>
          <rPr>
            <sz val="9"/>
            <color indexed="81"/>
            <rFont val="Tahoma"/>
            <family val="2"/>
          </rPr>
          <t xml:space="preserve">
This value probably less dubious than the spine/cord value</t>
        </r>
      </text>
    </comment>
  </commentList>
</comments>
</file>

<file path=xl/sharedStrings.xml><?xml version="1.0" encoding="utf-8"?>
<sst xmlns="http://schemas.openxmlformats.org/spreadsheetml/2006/main" count="1347" uniqueCount="432">
  <si>
    <t>TRS-398 Data</t>
  </si>
  <si>
    <t>ACDS data</t>
  </si>
  <si>
    <t>FC65-G</t>
  </si>
  <si>
    <t>CC13</t>
  </si>
  <si>
    <t>TW30013</t>
  </si>
  <si>
    <t>Cal #</t>
  </si>
  <si>
    <t>mGy/nC</t>
  </si>
  <si>
    <t>6FFF</t>
  </si>
  <si>
    <t>10FFF</t>
  </si>
  <si>
    <t>a</t>
  </si>
  <si>
    <t>b</t>
  </si>
  <si>
    <t>c</t>
  </si>
  <si>
    <t>TW34001</t>
  </si>
  <si>
    <t>Roos</t>
  </si>
  <si>
    <t>Markus</t>
  </si>
  <si>
    <t>NACP</t>
  </si>
  <si>
    <t>Cyl</t>
  </si>
  <si>
    <t>PP</t>
  </si>
  <si>
    <t>-</t>
  </si>
  <si>
    <t>UNIDOS</t>
  </si>
  <si>
    <t>Plastic phantom</t>
  </si>
  <si>
    <t>Solid water (WT1)</t>
  </si>
  <si>
    <t>Solid water (RMI-457)</t>
  </si>
  <si>
    <t>Plastic water</t>
  </si>
  <si>
    <t>Virtual water</t>
  </si>
  <si>
    <t>PMMA</t>
  </si>
  <si>
    <t>Clear polystyrene</t>
  </si>
  <si>
    <t>White polystyrene</t>
  </si>
  <si>
    <t>A-150</t>
  </si>
  <si>
    <t>TOMO</t>
  </si>
  <si>
    <t>(cm)</t>
  </si>
  <si>
    <t>L161533</t>
  </si>
  <si>
    <t>PC electrom.</t>
  </si>
  <si>
    <t>016952 06-16</t>
  </si>
  <si>
    <t>016934 06-16</t>
  </si>
  <si>
    <t>Cal report date</t>
  </si>
  <si>
    <t>CAL00821/02</t>
  </si>
  <si>
    <t>Change</t>
  </si>
  <si>
    <t>Version</t>
  </si>
  <si>
    <t>Author</t>
  </si>
  <si>
    <t>Date</t>
  </si>
  <si>
    <t>History</t>
  </si>
  <si>
    <t>Fields in green are calculated from information entered into the spreadsheet</t>
  </si>
  <si>
    <t>Fields in blue come directly from the Data sheet or elsewhere via a Lookup function</t>
  </si>
  <si>
    <t>Fields in yellow must be filled out by the operator</t>
  </si>
  <si>
    <t>IMPORTANT!!!</t>
  </si>
  <si>
    <t xml:space="preserve">Last modified: </t>
  </si>
  <si>
    <t xml:space="preserve">Authors: </t>
  </si>
  <si>
    <t>Microsoft Excel 2010</t>
  </si>
  <si>
    <t>Package:</t>
  </si>
  <si>
    <t>Date of issue:</t>
  </si>
  <si>
    <t>Approved by:</t>
  </si>
  <si>
    <t>Maintained by:</t>
  </si>
  <si>
    <t>Created by:</t>
  </si>
  <si>
    <t>CD</t>
  </si>
  <si>
    <t>Cate Davey</t>
  </si>
  <si>
    <t>Entered into QM</t>
  </si>
  <si>
    <t>calibration data updated for S/Ns: 6153, 6154,  6155, 6156 &amp; 6159</t>
  </si>
  <si>
    <t>6X</t>
  </si>
  <si>
    <t>10X</t>
  </si>
  <si>
    <t>Lung</t>
  </si>
  <si>
    <t>Rows added for PC electrometers 230363002 &amp; 230363003 added.</t>
  </si>
  <si>
    <t>CAL00849/03</t>
  </si>
  <si>
    <t>CAL00849/04</t>
  </si>
  <si>
    <t>W230363002</t>
  </si>
  <si>
    <t>W230363003</t>
  </si>
  <si>
    <t>CAL00849/01</t>
  </si>
  <si>
    <t>CAL00849/02</t>
  </si>
  <si>
    <t>photons</t>
  </si>
  <si>
    <t>electrons</t>
  </si>
  <si>
    <t>energy</t>
  </si>
  <si>
    <t>TRS-483 Data</t>
  </si>
  <si>
    <t>Dosimetry of small static fields used in external beam radiotherapy: an IAEA-AAPM International Code of Practice for reference and relative dose determination / International Atomic Energy Agency.</t>
  </si>
  <si>
    <t>Yellow highlighted factors are from the draft version of TRS483. The final version (Nov 2017) excludes correction factors &gt; ±5%.</t>
  </si>
  <si>
    <t>Chamber calibration factors</t>
  </si>
  <si>
    <t>Table 14</t>
  </si>
  <si>
    <t>k_Q for photon beams</t>
  </si>
  <si>
    <t>Expired or</t>
  </si>
  <si>
    <r>
      <t>N_</t>
    </r>
    <r>
      <rPr>
        <sz val="10"/>
        <color indexed="8"/>
        <rFont val="Calibri"/>
        <family val="2"/>
        <scheme val="minor"/>
      </rPr>
      <t>D,w,Q_o</t>
    </r>
  </si>
  <si>
    <t>k_s</t>
  </si>
  <si>
    <t>k_pol</t>
  </si>
  <si>
    <t>TPR_20,10</t>
  </si>
  <si>
    <t>Ionization chambers</t>
  </si>
  <si>
    <t>Real time solid state dosimeters</t>
  </si>
  <si>
    <t>Model</t>
  </si>
  <si>
    <t>Current?</t>
  </si>
  <si>
    <t>s/n</t>
  </si>
  <si>
    <t>Co-60</t>
  </si>
  <si>
    <t>Table 26</t>
  </si>
  <si>
    <r>
      <t>Field output correction factors k</t>
    </r>
    <r>
      <rPr>
        <vertAlign val="subscript"/>
        <sz val="10"/>
        <color theme="1"/>
        <rFont val="Calibri"/>
        <family val="2"/>
      </rPr>
      <t>Qclin,Qmsr</t>
    </r>
    <r>
      <rPr>
        <vertAlign val="superscript"/>
        <sz val="10"/>
        <color theme="1"/>
        <rFont val="Calibri"/>
        <family val="2"/>
      </rPr>
      <t>fclin,fmsr</t>
    </r>
    <r>
      <rPr>
        <sz val="10"/>
        <color theme="1"/>
        <rFont val="Calibri"/>
        <family val="2"/>
      </rPr>
      <t xml:space="preserve"> for fields collimated by an MLC or SRS cone at 6 MV WFF and FFF machines, as a function of the equivalent square field size</t>
    </r>
  </si>
  <si>
    <t>Short Model</t>
  </si>
  <si>
    <t>CC01</t>
  </si>
  <si>
    <t>CC04</t>
  </si>
  <si>
    <t xml:space="preserve">Full Make &amp; Model </t>
  </si>
  <si>
    <t>Exradin A14SL micro Shonka slimline</t>
  </si>
  <si>
    <t>Exradin A16 micro</t>
  </si>
  <si>
    <t>IBA/Wellhöfer CC01</t>
  </si>
  <si>
    <t>IBA/Wellhöfer CC04</t>
  </si>
  <si>
    <t>IBA/Wellhöfer CC13</t>
  </si>
  <si>
    <t>IBA/Wellhöfer IC10</t>
  </si>
  <si>
    <t>IBA/Wellhöfer IC15</t>
  </si>
  <si>
    <t>PTW 31002 Flexible</t>
  </si>
  <si>
    <t>PTW 31010 Semiflex</t>
  </si>
  <si>
    <t>PTW 31014 PinPoint</t>
  </si>
  <si>
    <t>PTW 31016 PinPoint 3D</t>
  </si>
  <si>
    <t>IBA PFD3G shielded diode</t>
  </si>
  <si>
    <t>IBA EFD3G unshielded diode</t>
  </si>
  <si>
    <t>IBA SFD unshielded diode (stereotactic)</t>
  </si>
  <si>
    <t>PTW 60008 shielded diode</t>
  </si>
  <si>
    <t>PTW 60012 unshielded diode</t>
  </si>
  <si>
    <t>PTW 60016 shielded diode</t>
  </si>
  <si>
    <t>PTW 60017 unshielded diode</t>
  </si>
  <si>
    <t>PTW 60018 unshielded diode (stereotactic)</t>
  </si>
  <si>
    <t>PTW 60003 natural diamond</t>
  </si>
  <si>
    <t>PTW 60019 CVD diamond</t>
  </si>
  <si>
    <t>PTW 31018 liquid ion chamber</t>
  </si>
  <si>
    <t>Sun Nuclear EDGE Detector</t>
  </si>
  <si>
    <t>Standard Imaging W1 plastic scintillator</t>
  </si>
  <si>
    <t>Smsr (cmxcm)</t>
  </si>
  <si>
    <t>10x10</t>
  </si>
  <si>
    <t>Ref.Depth (cm)</t>
  </si>
  <si>
    <t>Equivalent square field size, Sclin (cm)</t>
  </si>
  <si>
    <t>—</t>
  </si>
  <si>
    <t>Table 18</t>
  </si>
  <si>
    <t>k_Q for electron beams</t>
  </si>
  <si>
    <r>
      <t>R_50 (g/cm</t>
    </r>
    <r>
      <rPr>
        <vertAlign val="superscript"/>
        <sz val="10"/>
        <rFont val="Calibri"/>
        <family val="2"/>
        <scheme val="minor"/>
      </rPr>
      <t>2</t>
    </r>
    <r>
      <rPr>
        <sz val="10"/>
        <rFont val="Calibri"/>
        <family val="2"/>
        <scheme val="minor"/>
      </rPr>
      <t>)</t>
    </r>
  </si>
  <si>
    <t>Table 27</t>
  </si>
  <si>
    <r>
      <rPr>
        <sz val="10"/>
        <color rgb="FF231F20"/>
        <rFont val="Calibri"/>
        <family val="2"/>
        <scheme val="minor"/>
      </rPr>
      <t xml:space="preserve">Field Output correction factions </t>
    </r>
    <r>
      <rPr>
        <sz val="10"/>
        <rFont val="Calibri"/>
        <family val="2"/>
        <scheme val="minor"/>
      </rPr>
      <t>k</t>
    </r>
    <r>
      <rPr>
        <vertAlign val="subscript"/>
        <sz val="10"/>
        <rFont val="Calibri"/>
        <family val="2"/>
        <scheme val="minor"/>
      </rPr>
      <t>Qclin,Qmsr</t>
    </r>
    <r>
      <rPr>
        <vertAlign val="superscript"/>
        <sz val="10"/>
        <rFont val="Calibri"/>
        <family val="2"/>
        <scheme val="minor"/>
      </rPr>
      <t>fclin,fmsr</t>
    </r>
    <r>
      <rPr>
        <sz val="10"/>
        <rFont val="Calibri"/>
        <family val="2"/>
        <scheme val="minor"/>
      </rPr>
      <t xml:space="preserve"> for fields collimated by an MLC or SRS cone at 10 MV WFF and FFF machines, as a function of the equivalent square field size</t>
    </r>
  </si>
  <si>
    <r>
      <rPr>
        <i/>
        <sz val="10"/>
        <color theme="1"/>
        <rFont val="Calibri"/>
        <family val="2"/>
      </rPr>
      <t>S</t>
    </r>
    <r>
      <rPr>
        <sz val="10"/>
        <color theme="1"/>
        <rFont val="Calibri"/>
        <family val="2"/>
      </rPr>
      <t>msr (cmxcm)</t>
    </r>
  </si>
  <si>
    <t>Other</t>
  </si>
  <si>
    <t>Table 19</t>
  </si>
  <si>
    <t>k_Q,Q_int for electron beams</t>
  </si>
  <si>
    <t>Table 24</t>
  </si>
  <si>
    <r>
      <rPr>
        <sz val="10"/>
        <color rgb="FF231F20"/>
        <rFont val="Calibri"/>
        <family val="2"/>
        <scheme val="minor"/>
      </rPr>
      <t xml:space="preserve">Field output correction factors </t>
    </r>
    <r>
      <rPr>
        <sz val="10"/>
        <rFont val="Calibri"/>
        <family val="2"/>
        <scheme val="minor"/>
      </rPr>
      <t>k</t>
    </r>
    <r>
      <rPr>
        <vertAlign val="subscript"/>
        <sz val="10"/>
        <rFont val="Calibri"/>
        <family val="2"/>
        <scheme val="minor"/>
      </rPr>
      <t>Qclin,Qmsr</t>
    </r>
    <r>
      <rPr>
        <vertAlign val="superscript"/>
        <sz val="10"/>
        <rFont val="Calibri"/>
        <family val="2"/>
        <scheme val="minor"/>
      </rPr>
      <t>fclin,fmsr</t>
    </r>
    <r>
      <rPr>
        <sz val="10"/>
        <rFont val="Calibri"/>
        <family val="2"/>
        <scheme val="minor"/>
      </rPr>
      <t xml:space="preserve"> for Tomotherapy machines, as a function of the equivalents square field size</t>
    </r>
  </si>
  <si>
    <t>Electrometer calibration factors</t>
  </si>
  <si>
    <t>C1 shadowing</t>
  </si>
  <si>
    <t>k_sw (=m*depth+c)</t>
  </si>
  <si>
    <t>Scoring thresholds</t>
  </si>
  <si>
    <t>Energy (MV)</t>
  </si>
  <si>
    <t>k_shad</t>
  </si>
  <si>
    <t>m</t>
  </si>
  <si>
    <t>Audit level→</t>
  </si>
  <si>
    <t>LIB</t>
  </si>
  <si>
    <t>LII and LIII</t>
  </si>
  <si>
    <t>Photons</t>
  </si>
  <si>
    <t>Electrons</t>
  </si>
  <si>
    <t>5x10</t>
  </si>
  <si>
    <t>2 sigma</t>
  </si>
  <si>
    <t>3 sigma</t>
  </si>
  <si>
    <t>ARPANSA beam qualities</t>
  </si>
  <si>
    <t>C2 shadowing (6 MV only)</t>
  </si>
  <si>
    <t>Synergy</t>
  </si>
  <si>
    <t>Dave</t>
  </si>
  <si>
    <t>Point</t>
  </si>
  <si>
    <t>(TPR_20,10)</t>
  </si>
  <si>
    <t>Generic Farmer k_Q ratio</t>
  </si>
  <si>
    <t>k_Qp/k_Qm</t>
  </si>
  <si>
    <t>(R_50)</t>
  </si>
  <si>
    <t>Table 23</t>
  </si>
  <si>
    <r>
      <rPr>
        <sz val="10"/>
        <color rgb="FF231F20"/>
        <rFont val="Calibri"/>
        <family val="2"/>
        <scheme val="minor"/>
      </rPr>
      <t xml:space="preserve">Field output correction factors </t>
    </r>
    <r>
      <rPr>
        <sz val="10"/>
        <rFont val="Calibri"/>
        <family val="2"/>
        <scheme val="minor"/>
      </rPr>
      <t>k</t>
    </r>
    <r>
      <rPr>
        <vertAlign val="subscript"/>
        <sz val="10"/>
        <rFont val="Calibri"/>
        <family val="2"/>
        <scheme val="minor"/>
      </rPr>
      <t>Qclin,Qmsr</t>
    </r>
    <r>
      <rPr>
        <vertAlign val="superscript"/>
        <sz val="10"/>
        <rFont val="Calibri"/>
        <family val="2"/>
        <scheme val="minor"/>
      </rPr>
      <t>fclin,fmsr</t>
    </r>
    <r>
      <rPr>
        <sz val="10"/>
        <rFont val="Calibri"/>
        <family val="2"/>
        <scheme val="minor"/>
      </rPr>
      <t xml:space="preserve"> for Cyberknife machines, as a function of the diameter of circular fields (collimator setting) for the detector orientations specified in table 22</t>
    </r>
  </si>
  <si>
    <t>Table 9</t>
  </si>
  <si>
    <t>k_s quadratic coefficients for pulsed beams</t>
  </si>
  <si>
    <t>Non-uniformity correction</t>
  </si>
  <si>
    <t>V_1 / V_2</t>
  </si>
  <si>
    <t>a_0</t>
  </si>
  <si>
    <t>a_1</t>
  </si>
  <si>
    <t>a_2</t>
  </si>
  <si>
    <t>k_n</t>
  </si>
  <si>
    <r>
      <rPr>
        <i/>
        <sz val="10"/>
        <color theme="1"/>
        <rFont val="Calibri"/>
        <family val="2"/>
      </rPr>
      <t>S</t>
    </r>
    <r>
      <rPr>
        <sz val="10"/>
        <color theme="1"/>
        <rFont val="Calibri"/>
        <family val="2"/>
      </rPr>
      <t>msr diam. (cm)</t>
    </r>
  </si>
  <si>
    <r>
      <t xml:space="preserve">Circular field diameter (cm)
</t>
    </r>
    <r>
      <rPr>
        <sz val="12"/>
        <color rgb="FF231F20"/>
        <rFont val="Calibri"/>
        <family val="2"/>
        <scheme val="minor"/>
      </rPr>
      <t>(collimator setting)</t>
    </r>
  </si>
  <si>
    <t>date</t>
  </si>
  <si>
    <t>3x3</t>
  </si>
  <si>
    <t>Table 21</t>
  </si>
  <si>
    <t>Depth scaling factors</t>
  </si>
  <si>
    <t>c_pl</t>
  </si>
  <si>
    <t>h_pl</t>
  </si>
  <si>
    <r>
      <rPr>
        <sz val="10"/>
        <rFont val="Calibri"/>
        <family val="2"/>
      </rPr>
      <t>ρ</t>
    </r>
    <r>
      <rPr>
        <sz val="10"/>
        <rFont val="Calibri"/>
        <family val="2"/>
        <scheme val="minor"/>
      </rPr>
      <t>_pl (g cm</t>
    </r>
    <r>
      <rPr>
        <vertAlign val="superscript"/>
        <sz val="10"/>
        <rFont val="Calibri"/>
        <family val="2"/>
        <scheme val="minor"/>
      </rPr>
      <t>-3</t>
    </r>
    <r>
      <rPr>
        <sz val="10"/>
        <rFont val="Calibri"/>
        <family val="2"/>
        <scheme val="minor"/>
      </rPr>
      <t>)</t>
    </r>
  </si>
  <si>
    <t>SoftTiss</t>
  </si>
  <si>
    <t>Cord</t>
  </si>
  <si>
    <t>Table 22</t>
  </si>
  <si>
    <t>Detector orientation, with respect to the beam central axis, for relative dosimetry in small photon fields</t>
  </si>
  <si>
    <t>FROM FIG. 18. &amp; 19. Recommended orientations of an ionization chamber and solid state detector (diode, diamond) for measurements of lateral beam profiles (arrows indicate scanning directions in the paper plane while circle and crossed circle symbols refer to scanning directions perpendicular to the paper plane).</t>
  </si>
  <si>
    <t>Detector type</t>
  </si>
  <si>
    <t>Detector’s geometrical ref.</t>
  </si>
  <si>
    <t>Lateral beam profiles</t>
  </si>
  <si>
    <t>Field output factors</t>
  </si>
  <si>
    <t>Cylindrical micro ion chamber</t>
  </si>
  <si>
    <t>Axis</t>
  </si>
  <si>
    <t>Parallel or perpendicular</t>
  </si>
  <si>
    <t>Perpendicular</t>
  </si>
  <si>
    <t>Liquid ion chamber</t>
  </si>
  <si>
    <t>Parallel</t>
  </si>
  <si>
    <t>Silicon shielded diode</t>
  </si>
  <si>
    <t>Silicon unshielded diode</t>
  </si>
  <si>
    <t>Diamond detector</t>
  </si>
  <si>
    <t>Radiochromic film</t>
  </si>
  <si>
    <t>Film surface</t>
  </si>
  <si>
    <t>Level II Case data</t>
  </si>
  <si>
    <t>Case</t>
  </si>
  <si>
    <t>CT Series</t>
  </si>
  <si>
    <t>Iso</t>
  </si>
  <si>
    <t xml:space="preserve">SSD </t>
  </si>
  <si>
    <t>Field</t>
  </si>
  <si>
    <t>Field Size</t>
  </si>
  <si>
    <t>Wedge</t>
  </si>
  <si>
    <t>Px Pt</t>
  </si>
  <si>
    <t>Col. Angle</t>
  </si>
  <si>
    <t>Shape</t>
  </si>
  <si>
    <t>(⁰)</t>
  </si>
  <si>
    <t>3DCRT</t>
  </si>
  <si>
    <t>Sym</t>
  </si>
  <si>
    <t>20 (SI) x 20 (LR)</t>
  </si>
  <si>
    <t>0 or fac. ref. cond.</t>
  </si>
  <si>
    <t>10 (SI) x 10 (LR)</t>
  </si>
  <si>
    <t>Asym</t>
  </si>
  <si>
    <t>12 (SI  8,4) x 12 (LR  7,5)</t>
  </si>
  <si>
    <t>90 or as wedge</t>
  </si>
  <si>
    <t>30 Heel RT</t>
  </si>
  <si>
    <t>10 (SI  5,5) x 6 (LR  6,0)</t>
  </si>
  <si>
    <t>1a</t>
  </si>
  <si>
    <t>60 Heel RT</t>
  </si>
  <si>
    <t>3 (SI) x 3 (LR)</t>
  </si>
  <si>
    <t>12 (SI) x 12 (LR)</t>
  </si>
  <si>
    <t>Iso. Point</t>
  </si>
  <si>
    <t>SSD_gantry0</t>
  </si>
  <si>
    <t>Mx Pt</t>
  </si>
  <si>
    <t>Prescription</t>
  </si>
  <si>
    <t>IMRT/VMAT</t>
  </si>
  <si>
    <t>2 Gy to chair</t>
  </si>
  <si>
    <t>50 Gy in 25# to C-Shape</t>
  </si>
  <si>
    <t>100 MU / beam</t>
  </si>
  <si>
    <t>Level III Case data</t>
  </si>
  <si>
    <t>case</t>
  </si>
  <si>
    <t>presc.</t>
  </si>
  <si>
    <t>iso.</t>
  </si>
  <si>
    <t>over-</t>
  </si>
  <si>
    <t>coll.</t>
  </si>
  <si>
    <t>gantry</t>
  </si>
  <si>
    <t>field size</t>
  </si>
  <si>
    <t>wedge</t>
  </si>
  <si>
    <t>meas</t>
  </si>
  <si>
    <t>mode opt.</t>
  </si>
  <si>
    <t>dose/#</t>
  </si>
  <si>
    <t>point</t>
  </si>
  <si>
    <t>ride</t>
  </si>
  <si>
    <t>1 or 3</t>
  </si>
  <si>
    <t>surf.</t>
  </si>
  <si>
    <t>bone</t>
  </si>
  <si>
    <t>no override</t>
  </si>
  <si>
    <t>270,0,90</t>
  </si>
  <si>
    <t>86,93,86</t>
  </si>
  <si>
    <t>10x6,10x12,10x6</t>
  </si>
  <si>
    <t>30,0,30</t>
  </si>
  <si>
    <t>10x12</t>
  </si>
  <si>
    <t>50/25</t>
  </si>
  <si>
    <t>IMRT</t>
  </si>
  <si>
    <t>lungs</t>
  </si>
  <si>
    <t>150,60,0,300,210</t>
  </si>
  <si>
    <t>VMAT</t>
  </si>
  <si>
    <t>900/3 MU</t>
  </si>
  <si>
    <t>3x3,2x2,1x1</t>
  </si>
  <si>
    <t>45/3</t>
  </si>
  <si>
    <t>DCAT</t>
  </si>
  <si>
    <t>24/2</t>
  </si>
  <si>
    <t>Spine</t>
  </si>
  <si>
    <t>48/4</t>
  </si>
  <si>
    <t>num #</t>
  </si>
  <si>
    <t>total dose</t>
  </si>
  <si>
    <t>depth at each meas point</t>
  </si>
  <si>
    <t>AA</t>
  </si>
  <si>
    <t>Rearragnged the layout in order to make copy-pasting into the audit workbooks easier</t>
  </si>
  <si>
    <t>chair</t>
  </si>
  <si>
    <t>CShape</t>
  </si>
  <si>
    <t>?,89,93,89,?</t>
  </si>
  <si>
    <t>C8Target</t>
  </si>
  <si>
    <t>Average physical depth of Point 3 from IMRT angles</t>
  </si>
  <si>
    <t>Average radiological depth of Point 3 from IMRT angles</t>
  </si>
  <si>
    <t>Average radiological depth of Point 5 from IMRT angles</t>
  </si>
  <si>
    <t>LII 3x3 corr.</t>
  </si>
  <si>
    <t>LII kC</t>
  </si>
  <si>
    <t>microDiamond angular correction</t>
  </si>
  <si>
    <t>Couch</t>
  </si>
  <si>
    <t>k_angle</t>
  </si>
  <si>
    <t>6X, 6FFF</t>
  </si>
  <si>
    <t>3 x 3</t>
  </si>
  <si>
    <t>1.5 x 1.5</t>
  </si>
  <si>
    <t>FS average</t>
  </si>
  <si>
    <t>mach.type cc13 ks FFF corr.</t>
  </si>
  <si>
    <t>E</t>
  </si>
  <si>
    <t>V</t>
  </si>
  <si>
    <t>N_DW_Q_cross (Parallel)</t>
  </si>
  <si>
    <t>k_perp</t>
  </si>
  <si>
    <t>(ratio of parallel to perpendicular)</t>
  </si>
  <si>
    <t>mode</t>
  </si>
  <si>
    <t>couch</t>
  </si>
  <si>
    <t>req</t>
  </si>
  <si>
    <t>points or point_beam names</t>
  </si>
  <si>
    <t>5_RLAT</t>
  </si>
  <si>
    <t>8_RLAT</t>
  </si>
  <si>
    <t>5_AP</t>
  </si>
  <si>
    <t>8_AP</t>
  </si>
  <si>
    <t>5_LLAT</t>
  </si>
  <si>
    <t>8_LLAT</t>
  </si>
  <si>
    <t>couch?</t>
  </si>
  <si>
    <t>SoftTiss_3</t>
  </si>
  <si>
    <t>SoftTiss_2</t>
  </si>
  <si>
    <t>SoftTiss_1</t>
  </si>
  <si>
    <t>SoftTissTarget</t>
  </si>
  <si>
    <t>F-CONE</t>
  </si>
  <si>
    <t>IRIS</t>
  </si>
  <si>
    <t>SpineTarget</t>
  </si>
  <si>
    <t>Spine2Inf</t>
  </si>
  <si>
    <t>Spine1Sup</t>
  </si>
  <si>
    <t>LungTarget</t>
  </si>
  <si>
    <t>central cube</t>
  </si>
  <si>
    <t>1_3</t>
  </si>
  <si>
    <t>4_3</t>
  </si>
  <si>
    <t>1.5x1.5</t>
  </si>
  <si>
    <t>1_1.5</t>
  </si>
  <si>
    <t>4_1.5</t>
  </si>
  <si>
    <t>PTV_c14_c15</t>
  </si>
  <si>
    <t>HYP-ARC</t>
  </si>
  <si>
    <t>G-KNIFE</t>
  </si>
  <si>
    <t>RES00329</t>
  </si>
  <si>
    <t>Changed naming convention for C2 kshad to match v22+ of LIII audit workbook</t>
  </si>
  <si>
    <t>CAL00890/01</t>
  </si>
  <si>
    <t>microDiamond N_DW_Q_cross (Parallel), angular correction, k_perp, k_med now used in v22 of LIII workbook</t>
  </si>
  <si>
    <t>Description</t>
  </si>
  <si>
    <t>Soft Tissue Case</t>
  </si>
  <si>
    <t>Spine Case</t>
  </si>
  <si>
    <t>Lung Case</t>
  </si>
  <si>
    <t>cross cal</t>
  </si>
  <si>
    <t>Added Point 1 as a measurement point in Case 17</t>
  </si>
  <si>
    <t>index</t>
  </si>
  <si>
    <t>energy options</t>
  </si>
  <si>
    <t>CO-60</t>
  </si>
  <si>
    <t>MR linac</t>
  </si>
  <si>
    <t>kb</t>
  </si>
  <si>
    <t>CAL00834/01</t>
  </si>
  <si>
    <t>FK/AA/CD/KC</t>
  </si>
  <si>
    <t>Added space for microDiamond Cal #</t>
  </si>
  <si>
    <t>Added kb column</t>
  </si>
  <si>
    <t>Added space for 10 total calibrated microDiamonds</t>
  </si>
  <si>
    <t>Data entry corrections (minor) &amp; decimal place format correction</t>
  </si>
  <si>
    <t>Added detail to k elec title: medium &amp; internal timer</t>
  </si>
  <si>
    <t>Corrected case 17 column c: size 2&amp;3 inverted</t>
  </si>
  <si>
    <r>
      <t>N_</t>
    </r>
    <r>
      <rPr>
        <sz val="10"/>
        <color indexed="8"/>
        <rFont val="Calibri"/>
        <family val="2"/>
        <scheme val="minor"/>
      </rPr>
      <t>D,w,Q_cross</t>
    </r>
  </si>
  <si>
    <t>Q_cross (R50)</t>
  </si>
  <si>
    <t>Chamber Specific electron</t>
  </si>
  <si>
    <t>cm</t>
  </si>
  <si>
    <t>ACDS Deputy Quality Manager</t>
  </si>
  <si>
    <t>Clinical Operations Lead</t>
  </si>
  <si>
    <t>7FFF</t>
  </si>
  <si>
    <t>L201341</t>
  </si>
  <si>
    <t>24793 6005</t>
  </si>
  <si>
    <t>Tomo L201341 calibration data entered CD. Checked by: KC</t>
  </si>
  <si>
    <t>Diamond s/n 124007 &amp; 124008 calibration data entered CD. Checked by: MS</t>
  </si>
  <si>
    <t>KC</t>
  </si>
  <si>
    <t>CAL00903/02</t>
  </si>
  <si>
    <t>CAL00903/03</t>
  </si>
  <si>
    <t>Report</t>
  </si>
  <si>
    <t>cc13 s/n 17865 &amp; 14698 calibration data entered KC. Checked by: CD</t>
  </si>
  <si>
    <t>FK</t>
  </si>
  <si>
    <t>Added a table of Dwater/Dmedium corrections for the Dm,m algorithm planned doses (from TG-329)</t>
  </si>
  <si>
    <t>Added a table of film types per Level III audit case</t>
  </si>
  <si>
    <t>Film Type1</t>
  </si>
  <si>
    <t>Film Type2</t>
  </si>
  <si>
    <t>Film Type3</t>
  </si>
  <si>
    <t>Film Type4</t>
  </si>
  <si>
    <t>softTiss</t>
  </si>
  <si>
    <t>spine</t>
  </si>
  <si>
    <t>lung</t>
  </si>
  <si>
    <t>bigSq</t>
  </si>
  <si>
    <t>littleSq</t>
  </si>
  <si>
    <t>rectangle</t>
  </si>
  <si>
    <t>head</t>
  </si>
  <si>
    <t>CD/KC</t>
  </si>
  <si>
    <t>Diamond s/n 124146 calibration data entered CD. Checked by: KC</t>
  </si>
  <si>
    <t>Reordered film types for c16 and c17 in order of PTV#</t>
  </si>
  <si>
    <t>Film Type5</t>
  </si>
  <si>
    <t>Name</t>
  </si>
  <si>
    <t>dtiss film correction needed?</t>
  </si>
  <si>
    <t>Added a truth table for where additional SABR/SRS film corrections are needed</t>
  </si>
  <si>
    <t>ARPANSA-FORM-9042-v5 All levels calibration data</t>
  </si>
  <si>
    <t>CAL00928/01</t>
  </si>
  <si>
    <t>k_elec for each channel (medium current &amp; internal timer)</t>
  </si>
  <si>
    <t>CAL00928/02</t>
  </si>
  <si>
    <t>CAL00928/05</t>
  </si>
  <si>
    <r>
      <t>k_Q = a*(TPR20,10)</t>
    </r>
    <r>
      <rPr>
        <vertAlign val="superscript"/>
        <sz val="10"/>
        <color theme="1"/>
        <rFont val="Calibri"/>
        <family val="2"/>
        <scheme val="minor"/>
      </rPr>
      <t>2</t>
    </r>
    <r>
      <rPr>
        <sz val="10"/>
        <color theme="1"/>
        <rFont val="Calibri"/>
        <family val="2"/>
        <scheme val="minor"/>
      </rPr>
      <t xml:space="preserve"> + b*(TPR20,10) + c</t>
    </r>
  </si>
  <si>
    <t>CAL00935/01</t>
  </si>
  <si>
    <t>µDiamond k_Med v2 (Energy-Dependent)</t>
  </si>
  <si>
    <t>Dm</t>
  </si>
  <si>
    <t>Dw</t>
  </si>
  <si>
    <t>kmed dose-to-medium</t>
  </si>
  <si>
    <t xml:space="preserve">
kmed dose-to-water</t>
  </si>
  <si>
    <t>Cortical bone</t>
  </si>
  <si>
    <t>Trabecular bone</t>
  </si>
  <si>
    <t>Lung target</t>
  </si>
  <si>
    <t>Inhale lung</t>
  </si>
  <si>
    <t>Inhale lung (out of field)</t>
  </si>
  <si>
    <t>series</t>
  </si>
  <si>
    <t>phys depth</t>
  </si>
  <si>
    <t>total SW thickness</t>
  </si>
  <si>
    <t>correction</t>
  </si>
  <si>
    <t>Level II 3DCRT</t>
  </si>
  <si>
    <t>Level II IMRT and VMAT</t>
  </si>
  <si>
    <t>Level III All</t>
  </si>
  <si>
    <t>dtiss, dwater correction</t>
  </si>
  <si>
    <t>Co-60 (GK)</t>
  </si>
  <si>
    <t/>
  </si>
  <si>
    <t>List of Dtissue/Dwater corrections changed to truth tables for LII and LIII</t>
  </si>
  <si>
    <t>Added a separate table for the Dtissue/Dwater corrections for LII and LIII</t>
  </si>
  <si>
    <t>MS/FK</t>
  </si>
  <si>
    <t>µDiamond k_Med v2 table is now energy-dependent</t>
  </si>
  <si>
    <t>CAL00948/01</t>
  </si>
  <si>
    <t>CAL00948/02</t>
  </si>
  <si>
    <t>CAL00942/01</t>
  </si>
  <si>
    <t>PCE s/n 24793 6005 calibration data entered MH. Checked by: AC</t>
  </si>
  <si>
    <t>CAL00962/01</t>
  </si>
  <si>
    <t>CAL00962/02</t>
  </si>
  <si>
    <t>CAL00948/03</t>
  </si>
  <si>
    <t>CAL00948/04</t>
  </si>
  <si>
    <t>Farmer 5448, 5450 calibration data entered by MH. Checked by AC</t>
  </si>
  <si>
    <t>Unidos sn 194 and 180439 calibration data entered by MH. Checked by AC</t>
  </si>
  <si>
    <t>CAL00966/02</t>
  </si>
  <si>
    <t>CAL00966/04</t>
  </si>
  <si>
    <t>CAL00966/01</t>
  </si>
  <si>
    <t>CAL00966/03</t>
  </si>
  <si>
    <t>CAL00966/05</t>
  </si>
  <si>
    <t>Farmer 6153, 6154, 6155, 6156 and 6159 calibration data entered by AC. Checked by MH.</t>
  </si>
  <si>
    <t>CAL00967/01</t>
  </si>
  <si>
    <t xml:space="preserve">Tomo sn L201341 calibration data entered by AC.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</si>
</sst>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
    <numFmt numFmtId="165" formatCode="d/mm/yy;@"/>
    <numFmt numFmtId="166" formatCode="0.0000"/>
    <numFmt numFmtId="167" formatCode="0.0"/>
    <numFmt numFmtId="168" formatCode="0.000000"/>
  </numFmts>
  <fonts count="37" x14ac:knownFonts="1">
    <font>
      <sz val="11"/>
      <color theme="1"/>
      <name val="Calibri"/>
      <family val="2"/>
    </font>
    <font>
      <sz val="11"/>
      <color theme="1"/>
      <name val="Calibri"/>
      <family val="2"/>
      <scheme val="minor"/>
    </font>
    <font>
      <sz val="12"/>
      <color theme="1"/>
      <name val="Calibri"/>
      <family val="2"/>
      <scheme val="minor"/>
    </font>
    <font>
      <sz val="10"/>
      <color theme="1"/>
      <name val="Calibri"/>
      <family val="2"/>
      <scheme val="minor"/>
    </font>
    <font>
      <sz val="10"/>
      <name val="Arial"/>
      <family val="2"/>
    </font>
    <font>
      <sz val="10"/>
      <name val="Calibri"/>
      <family val="2"/>
      <scheme val="minor"/>
    </font>
    <font>
      <b/>
      <sz val="10"/>
      <name val="Calibri"/>
      <family val="2"/>
      <scheme val="minor"/>
    </font>
    <font>
      <vertAlign val="subscript"/>
      <sz val="10"/>
      <name val="Calibri"/>
      <family val="2"/>
      <scheme val="minor"/>
    </font>
    <font>
      <i/>
      <sz val="10"/>
      <name val="Calibri"/>
      <family val="2"/>
      <scheme val="minor"/>
    </font>
    <font>
      <vertAlign val="superscript"/>
      <sz val="10"/>
      <name val="Calibri"/>
      <family val="2"/>
      <scheme val="minor"/>
    </font>
    <font>
      <sz val="10"/>
      <color theme="1"/>
      <name val="Calibri"/>
      <family val="2"/>
    </font>
    <font>
      <sz val="12"/>
      <color theme="1"/>
      <name val="Calibri"/>
      <family val="2"/>
      <scheme val="minor"/>
    </font>
    <font>
      <sz val="9"/>
      <color indexed="81"/>
      <name val="Calibri"/>
      <family val="2"/>
      <scheme val="minor"/>
    </font>
    <font>
      <sz val="12"/>
      <name val="Calibri"/>
      <family val="2"/>
      <scheme val="minor"/>
    </font>
    <font>
      <b/>
      <sz val="12"/>
      <name val="Calibri"/>
      <family val="2"/>
      <scheme val="minor"/>
    </font>
    <font>
      <sz val="11"/>
      <name val="Calibri"/>
      <family val="2"/>
      <scheme val="minor"/>
    </font>
    <font>
      <b/>
      <sz val="11"/>
      <name val="Calibri"/>
      <family val="2"/>
      <scheme val="minor"/>
    </font>
    <font>
      <b/>
      <sz val="14"/>
      <color rgb="FF4E1A74"/>
      <name val="Calibri"/>
      <family val="2"/>
      <scheme val="minor"/>
    </font>
    <font>
      <sz val="10"/>
      <color indexed="8"/>
      <name val="Calibri"/>
      <family val="2"/>
      <scheme val="minor"/>
    </font>
    <font>
      <vertAlign val="subscript"/>
      <sz val="10"/>
      <color theme="1"/>
      <name val="Calibri"/>
      <family val="2"/>
    </font>
    <font>
      <vertAlign val="superscript"/>
      <sz val="10"/>
      <color theme="1"/>
      <name val="Calibri"/>
      <family val="2"/>
    </font>
    <font>
      <sz val="12"/>
      <color theme="1"/>
      <name val="Calibri"/>
      <family val="2"/>
    </font>
    <font>
      <sz val="10"/>
      <color rgb="FF231F20"/>
      <name val="Calibri"/>
      <family val="2"/>
      <scheme val="minor"/>
    </font>
    <font>
      <i/>
      <sz val="10"/>
      <color theme="1"/>
      <name val="Calibri"/>
      <family val="2"/>
    </font>
    <font>
      <sz val="10"/>
      <name val="Calibri"/>
      <family val="2"/>
    </font>
    <font>
      <sz val="12"/>
      <color rgb="FF231F20"/>
      <name val="Calibri"/>
      <family val="2"/>
      <scheme val="minor"/>
    </font>
    <font>
      <sz val="10"/>
      <name val="Times New Roman"/>
      <family val="1"/>
    </font>
    <font>
      <b/>
      <sz val="9"/>
      <color indexed="81"/>
      <name val="Tahoma"/>
      <family val="2"/>
    </font>
    <font>
      <sz val="9"/>
      <color indexed="81"/>
      <name val="Tahoma"/>
      <family val="2"/>
    </font>
    <font>
      <b/>
      <sz val="9"/>
      <color indexed="81"/>
      <name val="Calibri"/>
      <family val="2"/>
      <scheme val="minor"/>
    </font>
    <font>
      <i/>
      <sz val="11"/>
      <color theme="1"/>
      <name val="Calibri"/>
      <family val="2"/>
    </font>
    <font>
      <sz val="10"/>
      <color rgb="FF64DC64"/>
      <name val="Calibri"/>
      <family val="2"/>
      <scheme val="minor"/>
    </font>
    <font>
      <sz val="10"/>
      <color rgb="FF64DC64"/>
      <name val="Calibri"/>
      <family val="2"/>
    </font>
    <font>
      <vertAlign val="superscript"/>
      <sz val="10"/>
      <color theme="1"/>
      <name val="Calibri"/>
      <family val="2"/>
      <scheme val="minor"/>
    </font>
    <font>
      <sz val="11"/>
      <color theme="1"/>
      <name val="Segoe UI"/>
      <family val="2"/>
    </font>
    <font>
      <sz val="9"/>
      <color indexed="81"/>
      <name val="Tahoma"/>
      <charset val="1"/>
    </font>
    <font>
      <b/>
      <sz val="9"/>
      <color indexed="81"/>
      <name val="Tahoma"/>
      <charset val="1"/>
    </font>
  </fonts>
  <fills count="9">
    <fill>
      <patternFill patternType="none"/>
    </fill>
    <fill>
      <patternFill patternType="gray125"/>
    </fill>
    <fill>
      <patternFill patternType="solid">
        <fgColor rgb="FFCCFFFF"/>
        <bgColor indexed="64"/>
      </patternFill>
    </fill>
    <fill>
      <patternFill patternType="solid">
        <fgColor rgb="FFFFFFCC"/>
        <bgColor indexed="64"/>
      </patternFill>
    </fill>
    <fill>
      <patternFill patternType="solid">
        <fgColor rgb="FFCCFFCC"/>
        <bgColor indexed="64"/>
      </patternFill>
    </fill>
    <fill>
      <patternFill patternType="solid">
        <fgColor rgb="FFD5B4EE"/>
        <bgColor indexed="64"/>
      </patternFill>
    </fill>
    <fill>
      <patternFill patternType="solid">
        <fgColor indexed="27"/>
        <bgColor indexed="64"/>
      </patternFill>
    </fill>
    <fill>
      <patternFill patternType="solid">
        <fgColor theme="0" tint="-0.499984740745262"/>
        <bgColor indexed="64"/>
      </patternFill>
    </fill>
    <fill>
      <patternFill patternType="solid">
        <fgColor rgb="FF00B0F0"/>
        <bgColor indexed="64"/>
      </patternFill>
    </fill>
  </fills>
  <borders count="27">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rgb="FF4E1A74"/>
      </left>
      <right style="thin">
        <color rgb="FF4E1A74"/>
      </right>
      <top style="thin">
        <color rgb="FF4E1A74"/>
      </top>
      <bottom style="medium">
        <color rgb="FF4E1A74"/>
      </bottom>
      <diagonal/>
    </border>
    <border>
      <left style="medium">
        <color rgb="FF4E1A74"/>
      </left>
      <right style="thin">
        <color rgb="FF4E1A74"/>
      </right>
      <top style="thin">
        <color rgb="FF4E1A74"/>
      </top>
      <bottom style="medium">
        <color rgb="FF4E1A74"/>
      </bottom>
      <diagonal/>
    </border>
    <border>
      <left style="thin">
        <color rgb="FF4E1A74"/>
      </left>
      <right style="medium">
        <color rgb="FF4E1A74"/>
      </right>
      <top style="thin">
        <color rgb="FF4E1A74"/>
      </top>
      <bottom style="thin">
        <color rgb="FF4E1A74"/>
      </bottom>
      <diagonal/>
    </border>
    <border>
      <left style="thin">
        <color rgb="FF4E1A74"/>
      </left>
      <right style="thin">
        <color rgb="FF4E1A74"/>
      </right>
      <top style="thin">
        <color rgb="FF4E1A74"/>
      </top>
      <bottom style="thin">
        <color rgb="FF4E1A74"/>
      </bottom>
      <diagonal/>
    </border>
    <border>
      <left style="medium">
        <color rgb="FF4E1A74"/>
      </left>
      <right style="thin">
        <color rgb="FF4E1A74"/>
      </right>
      <top style="thin">
        <color rgb="FF4E1A74"/>
      </top>
      <bottom style="thin">
        <color rgb="FF4E1A74"/>
      </bottom>
      <diagonal/>
    </border>
    <border>
      <left/>
      <right style="medium">
        <color rgb="FF4E1A74"/>
      </right>
      <top style="medium">
        <color rgb="FF4E1A74"/>
      </top>
      <bottom/>
      <diagonal/>
    </border>
    <border>
      <left/>
      <right/>
      <top style="medium">
        <color rgb="FF4E1A74"/>
      </top>
      <bottom/>
      <diagonal/>
    </border>
    <border>
      <left style="medium">
        <color rgb="FF4E1A74"/>
      </left>
      <right/>
      <top style="medium">
        <color rgb="FF4E1A74"/>
      </top>
      <bottom/>
      <diagonal/>
    </border>
    <border>
      <left style="thin">
        <color rgb="FF4E1A74"/>
      </left>
      <right/>
      <top style="thin">
        <color rgb="FF4E1A74"/>
      </top>
      <bottom style="medium">
        <color rgb="FF4E1A74"/>
      </bottom>
      <diagonal/>
    </border>
    <border>
      <left/>
      <right/>
      <top style="thin">
        <color rgb="FF4E1A74"/>
      </top>
      <bottom style="medium">
        <color rgb="FF4E1A74"/>
      </bottom>
      <diagonal/>
    </border>
    <border>
      <left/>
      <right style="medium">
        <color rgb="FF4E1A74"/>
      </right>
      <top style="thin">
        <color rgb="FF4E1A74"/>
      </top>
      <bottom style="medium">
        <color rgb="FF4E1A74"/>
      </bottom>
      <diagonal/>
    </border>
  </borders>
  <cellStyleXfs count="7">
    <xf numFmtId="0" fontId="0" fillId="0" borderId="0"/>
    <xf numFmtId="0" fontId="4" fillId="0" borderId="0"/>
    <xf numFmtId="0" fontId="4" fillId="0" borderId="0"/>
    <xf numFmtId="0" fontId="4" fillId="0" borderId="0"/>
    <xf numFmtId="0" fontId="4" fillId="0" borderId="0"/>
    <xf numFmtId="0" fontId="11" fillId="0" borderId="0"/>
    <xf numFmtId="0" fontId="2" fillId="0" borderId="0"/>
  </cellStyleXfs>
  <cellXfs count="553">
    <xf numFmtId="0" fontId="0" fillId="0" borderId="0" xfId="0"/>
    <xf numFmtId="0" fontId="5" fillId="2" borderId="10" xfId="1" applyFont="1" applyFill="1" applyBorder="1" applyAlignment="1" applyProtection="1">
      <alignment horizontal="center"/>
    </xf>
    <xf numFmtId="0" fontId="0" fillId="0" borderId="0" xfId="0" applyFont="1"/>
    <xf numFmtId="0" fontId="13" fillId="5" borderId="0" xfId="0" applyFont="1" applyFill="1"/>
    <xf numFmtId="0" fontId="13" fillId="5" borderId="0" xfId="0" applyFont="1" applyFill="1" applyAlignment="1">
      <alignment horizontal="left"/>
    </xf>
    <xf numFmtId="15" fontId="13" fillId="5" borderId="0" xfId="0" applyNumberFormat="1" applyFont="1" applyFill="1" applyAlignment="1">
      <alignment horizontal="center"/>
    </xf>
    <xf numFmtId="0" fontId="0" fillId="5" borderId="0" xfId="0" applyFont="1" applyFill="1"/>
    <xf numFmtId="0" fontId="13" fillId="5" borderId="0" xfId="0" applyFont="1" applyFill="1" applyAlignment="1">
      <alignment horizontal="center"/>
    </xf>
    <xf numFmtId="0" fontId="14" fillId="5" borderId="0" xfId="0" applyFont="1" applyFill="1"/>
    <xf numFmtId="0" fontId="6" fillId="5" borderId="0" xfId="0" applyFont="1" applyFill="1"/>
    <xf numFmtId="0" fontId="14" fillId="5" borderId="0" xfId="0" applyFont="1" applyFill="1" applyAlignment="1">
      <alignment horizontal="left"/>
    </xf>
    <xf numFmtId="0" fontId="14" fillId="5" borderId="0" xfId="0" applyFont="1" applyFill="1" applyAlignment="1">
      <alignment horizontal="center"/>
    </xf>
    <xf numFmtId="15" fontId="14" fillId="5" borderId="0" xfId="0" applyNumberFormat="1" applyFont="1" applyFill="1" applyAlignment="1">
      <alignment horizontal="center"/>
    </xf>
    <xf numFmtId="0" fontId="5" fillId="0" borderId="0" xfId="0" applyFont="1"/>
    <xf numFmtId="0" fontId="6" fillId="0" borderId="0" xfId="0" applyFont="1"/>
    <xf numFmtId="0" fontId="15" fillId="5" borderId="0" xfId="0" applyFont="1" applyFill="1"/>
    <xf numFmtId="0" fontId="15" fillId="5" borderId="0" xfId="0" applyFont="1" applyFill="1" applyAlignment="1">
      <alignment horizontal="left"/>
    </xf>
    <xf numFmtId="0" fontId="15" fillId="5" borderId="0" xfId="0" applyFont="1" applyFill="1" applyAlignment="1">
      <alignment horizontal="center"/>
    </xf>
    <xf numFmtId="15" fontId="15" fillId="5" borderId="0" xfId="0" applyNumberFormat="1" applyFont="1" applyFill="1" applyAlignment="1">
      <alignment horizontal="center"/>
    </xf>
    <xf numFmtId="0" fontId="15" fillId="5" borderId="0" xfId="0" quotePrefix="1" applyFont="1" applyFill="1"/>
    <xf numFmtId="0" fontId="16" fillId="5" borderId="0" xfId="0" applyFont="1" applyFill="1"/>
    <xf numFmtId="14" fontId="15" fillId="5" borderId="0" xfId="0" applyNumberFormat="1" applyFont="1" applyFill="1" applyAlignment="1">
      <alignment horizontal="center"/>
    </xf>
    <xf numFmtId="0" fontId="13" fillId="0" borderId="0" xfId="0" applyFont="1"/>
    <xf numFmtId="0" fontId="14" fillId="0" borderId="0" xfId="0" applyFont="1"/>
    <xf numFmtId="0" fontId="15" fillId="5" borderId="0" xfId="0" applyFont="1" applyFill="1" applyBorder="1"/>
    <xf numFmtId="0" fontId="15" fillId="5" borderId="0" xfId="0" applyFont="1" applyFill="1" applyBorder="1" applyAlignment="1">
      <alignment horizontal="center"/>
    </xf>
    <xf numFmtId="15" fontId="15" fillId="5" borderId="0" xfId="0" applyNumberFormat="1" applyFont="1" applyFill="1" applyBorder="1" applyAlignment="1">
      <alignment horizontal="center"/>
    </xf>
    <xf numFmtId="0" fontId="16" fillId="0" borderId="0" xfId="0" applyFont="1"/>
    <xf numFmtId="0" fontId="15" fillId="0" borderId="0" xfId="0" applyFont="1"/>
    <xf numFmtId="0" fontId="15" fillId="5" borderId="9" xfId="0" applyFont="1" applyFill="1" applyBorder="1"/>
    <xf numFmtId="0" fontId="15" fillId="5" borderId="8" xfId="0" applyFont="1" applyFill="1" applyBorder="1"/>
    <xf numFmtId="0" fontId="15" fillId="5" borderId="10" xfId="0" applyFont="1" applyFill="1" applyBorder="1" applyAlignment="1">
      <alignment horizontal="left"/>
    </xf>
    <xf numFmtId="0" fontId="15" fillId="5" borderId="10" xfId="0" applyFont="1" applyFill="1" applyBorder="1"/>
    <xf numFmtId="15" fontId="15" fillId="5" borderId="10" xfId="0" applyNumberFormat="1" applyFont="1" applyFill="1" applyBorder="1" applyAlignment="1">
      <alignment horizontal="center"/>
    </xf>
    <xf numFmtId="0" fontId="0" fillId="0" borderId="0" xfId="0" applyFill="1"/>
    <xf numFmtId="0" fontId="8" fillId="0" borderId="0" xfId="1" applyFont="1" applyFill="1" applyBorder="1" applyAlignment="1" applyProtection="1">
      <alignment horizontal="center"/>
    </xf>
    <xf numFmtId="167" fontId="5" fillId="0" borderId="0" xfId="1" applyNumberFormat="1" applyFont="1" applyFill="1" applyBorder="1" applyAlignment="1" applyProtection="1">
      <alignment horizontal="center"/>
    </xf>
    <xf numFmtId="164" fontId="5" fillId="0" borderId="0" xfId="1" applyNumberFormat="1" applyFont="1" applyFill="1" applyBorder="1" applyAlignment="1" applyProtection="1">
      <alignment horizontal="center"/>
    </xf>
    <xf numFmtId="14" fontId="15" fillId="5" borderId="0" xfId="0" applyNumberFormat="1" applyFont="1" applyFill="1" applyAlignment="1">
      <alignment horizontal="left"/>
    </xf>
    <xf numFmtId="0" fontId="0" fillId="0" borderId="0" xfId="0" applyProtection="1"/>
    <xf numFmtId="0" fontId="3" fillId="0" borderId="0" xfId="0" applyFont="1" applyAlignment="1" applyProtection="1"/>
    <xf numFmtId="0" fontId="5" fillId="0" borderId="0" xfId="0" applyFont="1" applyFill="1" applyBorder="1" applyAlignment="1" applyProtection="1">
      <alignment horizontal="center"/>
    </xf>
    <xf numFmtId="0" fontId="10" fillId="0" borderId="0" xfId="0" applyFont="1" applyAlignment="1" applyProtection="1"/>
    <xf numFmtId="0" fontId="5" fillId="0" borderId="0" xfId="1" applyFont="1" applyFill="1" applyBorder="1" applyAlignment="1" applyProtection="1"/>
    <xf numFmtId="0" fontId="3" fillId="0" borderId="2" xfId="0" applyFont="1" applyFill="1" applyBorder="1" applyAlignment="1" applyProtection="1">
      <alignment horizontal="center"/>
    </xf>
    <xf numFmtId="0" fontId="3" fillId="0" borderId="0" xfId="0" applyFont="1" applyFill="1" applyBorder="1" applyAlignment="1" applyProtection="1">
      <alignment horizontal="center"/>
    </xf>
    <xf numFmtId="0" fontId="3" fillId="0" borderId="5" xfId="0" applyFont="1" applyFill="1" applyBorder="1" applyAlignment="1" applyProtection="1">
      <alignment horizontal="center"/>
    </xf>
    <xf numFmtId="0" fontId="3" fillId="0" borderId="0" xfId="0" applyFont="1" applyFill="1" applyBorder="1" applyAlignment="1" applyProtection="1">
      <alignment horizontal="left"/>
    </xf>
    <xf numFmtId="0" fontId="5" fillId="0" borderId="0" xfId="1" applyFont="1" applyBorder="1" applyAlignment="1" applyProtection="1"/>
    <xf numFmtId="0" fontId="3" fillId="0" borderId="0" xfId="0" applyFont="1" applyBorder="1" applyAlignment="1" applyProtection="1"/>
    <xf numFmtId="0" fontId="3" fillId="0" borderId="0" xfId="0" applyFont="1" applyFill="1" applyBorder="1" applyAlignment="1" applyProtection="1"/>
    <xf numFmtId="0" fontId="10" fillId="0" borderId="0" xfId="0" applyFont="1" applyBorder="1" applyAlignment="1" applyProtection="1"/>
    <xf numFmtId="164" fontId="5" fillId="6" borderId="0" xfId="1" applyNumberFormat="1" applyFont="1" applyFill="1" applyBorder="1" applyAlignment="1" applyProtection="1">
      <alignment horizontal="center"/>
    </xf>
    <xf numFmtId="0" fontId="5" fillId="2" borderId="0" xfId="1" applyFont="1" applyFill="1" applyBorder="1" applyAlignment="1" applyProtection="1">
      <alignment horizontal="center"/>
    </xf>
    <xf numFmtId="0" fontId="3" fillId="0" borderId="0" xfId="0" applyFont="1" applyFill="1" applyBorder="1" applyAlignment="1" applyProtection="1">
      <alignment horizontal="center"/>
      <protection locked="0"/>
    </xf>
    <xf numFmtId="0" fontId="10" fillId="0" borderId="0" xfId="0" applyFont="1" applyFill="1" applyBorder="1" applyAlignment="1" applyProtection="1"/>
    <xf numFmtId="0" fontId="10" fillId="0" borderId="0" xfId="0" applyFont="1" applyFill="1" applyBorder="1" applyProtection="1">
      <protection locked="0"/>
    </xf>
    <xf numFmtId="166" fontId="3" fillId="0" borderId="0" xfId="0" applyNumberFormat="1" applyFont="1" applyBorder="1" applyAlignment="1" applyProtection="1"/>
    <xf numFmtId="0" fontId="10" fillId="3" borderId="7" xfId="0" applyFont="1" applyFill="1" applyBorder="1" applyAlignment="1" applyProtection="1"/>
    <xf numFmtId="0" fontId="10" fillId="0" borderId="0" xfId="0" applyFont="1" applyFill="1" applyBorder="1" applyAlignment="1" applyProtection="1">
      <protection locked="0"/>
    </xf>
    <xf numFmtId="0" fontId="3" fillId="0" borderId="2" xfId="0" applyFont="1" applyFill="1" applyBorder="1" applyAlignment="1" applyProtection="1"/>
    <xf numFmtId="0" fontId="3" fillId="0" borderId="2" xfId="0" applyFont="1" applyFill="1" applyBorder="1" applyAlignment="1" applyProtection="1">
      <alignment horizontal="center" wrapText="1"/>
    </xf>
    <xf numFmtId="0" fontId="3" fillId="0" borderId="2" xfId="0" applyFont="1" applyFill="1" applyBorder="1" applyAlignment="1" applyProtection="1">
      <alignment horizontal="left"/>
    </xf>
    <xf numFmtId="0" fontId="3" fillId="0" borderId="3" xfId="0" applyFont="1" applyFill="1" applyBorder="1" applyAlignment="1" applyProtection="1">
      <alignment horizontal="center"/>
    </xf>
    <xf numFmtId="0" fontId="5" fillId="2" borderId="8" xfId="1" applyFont="1" applyFill="1" applyBorder="1" applyAlignment="1" applyProtection="1">
      <alignment horizontal="center"/>
    </xf>
    <xf numFmtId="0" fontId="5" fillId="2" borderId="9" xfId="1" applyFont="1" applyFill="1" applyBorder="1" applyAlignment="1" applyProtection="1">
      <alignment horizontal="center"/>
    </xf>
    <xf numFmtId="0" fontId="10" fillId="0" borderId="0" xfId="0" applyFont="1" applyBorder="1" applyAlignment="1" applyProtection="1">
      <alignment horizontal="center"/>
    </xf>
    <xf numFmtId="0" fontId="3" fillId="0" borderId="0" xfId="0" applyFont="1" applyFill="1" applyBorder="1" applyAlignment="1" applyProtection="1">
      <alignment horizontal="center" wrapText="1"/>
    </xf>
    <xf numFmtId="0" fontId="18" fillId="0" borderId="0" xfId="0" applyFont="1" applyFill="1" applyBorder="1" applyAlignment="1" applyProtection="1">
      <alignment horizontal="center"/>
    </xf>
    <xf numFmtId="0" fontId="3" fillId="0" borderId="12" xfId="0" applyFont="1" applyFill="1" applyBorder="1" applyAlignment="1" applyProtection="1">
      <alignment horizontal="center"/>
    </xf>
    <xf numFmtId="2" fontId="5" fillId="2" borderId="15" xfId="1" applyNumberFormat="1" applyFont="1" applyFill="1" applyBorder="1" applyAlignment="1" applyProtection="1">
      <alignment horizontal="center"/>
    </xf>
    <xf numFmtId="164" fontId="5" fillId="2" borderId="0" xfId="1" applyNumberFormat="1" applyFont="1" applyFill="1" applyBorder="1" applyAlignment="1" applyProtection="1">
      <alignment horizontal="center"/>
    </xf>
    <xf numFmtId="164" fontId="5" fillId="2" borderId="12" xfId="1" applyNumberFormat="1" applyFont="1" applyFill="1" applyBorder="1" applyAlignment="1" applyProtection="1">
      <alignment horizontal="center"/>
    </xf>
    <xf numFmtId="0" fontId="10" fillId="0" borderId="8" xfId="0" applyFont="1" applyFill="1" applyBorder="1" applyAlignment="1" applyProtection="1"/>
    <xf numFmtId="165" fontId="10" fillId="4" borderId="13" xfId="0" applyNumberFormat="1" applyFont="1" applyFill="1" applyBorder="1" applyAlignment="1" applyProtection="1">
      <alignment horizontal="center"/>
    </xf>
    <xf numFmtId="165" fontId="10" fillId="4" borderId="15" xfId="0" applyNumberFormat="1" applyFont="1" applyFill="1" applyBorder="1" applyAlignment="1" applyProtection="1">
      <alignment horizontal="center"/>
    </xf>
    <xf numFmtId="165" fontId="10" fillId="4" borderId="14" xfId="0" applyNumberFormat="1" applyFont="1" applyFill="1" applyBorder="1" applyAlignment="1" applyProtection="1">
      <alignment horizontal="center"/>
    </xf>
    <xf numFmtId="2" fontId="5" fillId="2" borderId="14" xfId="1" applyNumberFormat="1" applyFont="1" applyFill="1" applyBorder="1" applyAlignment="1" applyProtection="1">
      <alignment horizontal="center"/>
    </xf>
    <xf numFmtId="164" fontId="5" fillId="2" borderId="5" xfId="1" applyNumberFormat="1" applyFont="1" applyFill="1" applyBorder="1" applyAlignment="1" applyProtection="1">
      <alignment horizontal="center"/>
    </xf>
    <xf numFmtId="164" fontId="5" fillId="2" borderId="6" xfId="1" applyNumberFormat="1" applyFont="1" applyFill="1" applyBorder="1" applyAlignment="1" applyProtection="1">
      <alignment horizontal="center"/>
    </xf>
    <xf numFmtId="0" fontId="5" fillId="2" borderId="13" xfId="1" applyFont="1" applyFill="1" applyBorder="1" applyAlignment="1" applyProtection="1">
      <alignment horizontal="center"/>
    </xf>
    <xf numFmtId="49" fontId="5" fillId="2" borderId="2" xfId="1" applyNumberFormat="1" applyFont="1" applyFill="1" applyBorder="1" applyAlignment="1" applyProtection="1">
      <alignment horizontal="center"/>
    </xf>
    <xf numFmtId="49" fontId="5" fillId="2" borderId="3" xfId="1" applyNumberFormat="1" applyFont="1" applyFill="1" applyBorder="1" applyAlignment="1" applyProtection="1">
      <alignment horizontal="center"/>
    </xf>
    <xf numFmtId="0" fontId="3" fillId="0" borderId="11" xfId="0" applyFont="1" applyBorder="1" applyAlignment="1" applyProtection="1">
      <alignment horizontal="center"/>
    </xf>
    <xf numFmtId="0" fontId="5" fillId="2" borderId="14" xfId="1" applyFont="1" applyFill="1" applyBorder="1" applyAlignment="1" applyProtection="1">
      <alignment horizontal="center"/>
    </xf>
    <xf numFmtId="49" fontId="5" fillId="2" borderId="5" xfId="1" applyNumberFormat="1" applyFont="1" applyFill="1" applyBorder="1" applyAlignment="1" applyProtection="1">
      <alignment horizontal="center"/>
    </xf>
    <xf numFmtId="0" fontId="8" fillId="2" borderId="6" xfId="1" applyFont="1" applyFill="1" applyBorder="1" applyAlignment="1" applyProtection="1">
      <alignment horizontal="center"/>
    </xf>
    <xf numFmtId="167" fontId="5" fillId="2" borderId="15" xfId="1" applyNumberFormat="1" applyFont="1" applyFill="1" applyBorder="1" applyAlignment="1" applyProtection="1">
      <alignment horizontal="center"/>
    </xf>
    <xf numFmtId="0" fontId="10" fillId="0" borderId="4" xfId="0" applyFont="1" applyBorder="1" applyAlignment="1" applyProtection="1">
      <alignment horizontal="center"/>
    </xf>
    <xf numFmtId="0" fontId="10" fillId="0" borderId="1" xfId="0" applyFont="1" applyBorder="1" applyAlignment="1" applyProtection="1">
      <alignment horizontal="center"/>
    </xf>
    <xf numFmtId="0" fontId="10" fillId="0" borderId="11" xfId="0" applyFont="1" applyBorder="1" applyAlignment="1" applyProtection="1"/>
    <xf numFmtId="0" fontId="3" fillId="0" borderId="1" xfId="0" applyFont="1" applyBorder="1" applyAlignment="1" applyProtection="1">
      <alignment horizontal="center"/>
    </xf>
    <xf numFmtId="165" fontId="10" fillId="0" borderId="0" xfId="0" applyNumberFormat="1" applyFont="1" applyFill="1" applyBorder="1" applyAlignment="1" applyProtection="1">
      <alignment horizontal="center"/>
    </xf>
    <xf numFmtId="0" fontId="10" fillId="0" borderId="2" xfId="0" applyFont="1" applyBorder="1" applyAlignment="1" applyProtection="1"/>
    <xf numFmtId="0" fontId="10" fillId="0" borderId="12" xfId="0" applyFont="1" applyBorder="1" applyAlignment="1" applyProtection="1"/>
    <xf numFmtId="167" fontId="5" fillId="2" borderId="14" xfId="1" applyNumberFormat="1" applyFont="1" applyFill="1" applyBorder="1" applyAlignment="1" applyProtection="1">
      <alignment horizontal="center"/>
    </xf>
    <xf numFmtId="0" fontId="3" fillId="0" borderId="4" xfId="0" applyFont="1" applyBorder="1" applyAlignment="1" applyProtection="1">
      <alignment horizontal="center"/>
    </xf>
    <xf numFmtId="0" fontId="10" fillId="0" borderId="0" xfId="0" applyFont="1" applyAlignment="1" applyProtection="1">
      <protection locked="0"/>
    </xf>
    <xf numFmtId="0" fontId="10" fillId="0" borderId="0" xfId="0" applyFont="1" applyFill="1" applyBorder="1" applyAlignment="1" applyProtection="1">
      <alignment horizontal="left"/>
      <protection locked="0"/>
    </xf>
    <xf numFmtId="0" fontId="10" fillId="0" borderId="0" xfId="0" applyFont="1" applyFill="1" applyBorder="1" applyAlignment="1" applyProtection="1">
      <alignment horizontal="left"/>
    </xf>
    <xf numFmtId="0" fontId="10" fillId="0" borderId="0" xfId="0" applyFont="1" applyFill="1" applyBorder="1" applyAlignment="1" applyProtection="1">
      <alignment horizontal="center"/>
    </xf>
    <xf numFmtId="0" fontId="10" fillId="0" borderId="10" xfId="0" applyFont="1" applyFill="1" applyBorder="1" applyAlignment="1" applyProtection="1">
      <alignment horizontal="center"/>
      <protection locked="0"/>
    </xf>
    <xf numFmtId="164" fontId="10" fillId="3" borderId="0" xfId="0" applyNumberFormat="1" applyFont="1" applyFill="1" applyBorder="1" applyAlignment="1" applyProtection="1">
      <alignment horizontal="center"/>
    </xf>
    <xf numFmtId="164" fontId="10" fillId="3" borderId="12" xfId="0" applyNumberFormat="1" applyFont="1" applyFill="1" applyBorder="1" applyAlignment="1" applyProtection="1">
      <alignment horizontal="center"/>
    </xf>
    <xf numFmtId="164" fontId="10" fillId="3" borderId="5" xfId="0" applyNumberFormat="1" applyFont="1" applyFill="1" applyBorder="1" applyAlignment="1" applyProtection="1">
      <alignment horizontal="center"/>
    </xf>
    <xf numFmtId="0" fontId="10" fillId="0" borderId="1" xfId="0" applyFont="1" applyBorder="1" applyAlignment="1" applyProtection="1"/>
    <xf numFmtId="0" fontId="10" fillId="0" borderId="2" xfId="0" applyFont="1" applyFill="1" applyBorder="1" applyAlignment="1" applyProtection="1">
      <alignment horizontal="center"/>
    </xf>
    <xf numFmtId="165" fontId="10" fillId="4" borderId="1" xfId="0" applyNumberFormat="1" applyFont="1" applyFill="1" applyBorder="1" applyAlignment="1" applyProtection="1">
      <alignment horizontal="center"/>
    </xf>
    <xf numFmtId="0" fontId="5" fillId="6" borderId="10" xfId="1" applyFont="1" applyFill="1" applyBorder="1" applyAlignment="1" applyProtection="1">
      <alignment horizontal="center"/>
    </xf>
    <xf numFmtId="0" fontId="5" fillId="6" borderId="8" xfId="1" applyFont="1" applyFill="1" applyBorder="1" applyAlignment="1" applyProtection="1">
      <alignment horizontal="center"/>
    </xf>
    <xf numFmtId="0" fontId="5" fillId="6" borderId="9" xfId="1" applyFont="1" applyFill="1" applyBorder="1" applyAlignment="1" applyProtection="1">
      <alignment horizontal="center"/>
    </xf>
    <xf numFmtId="165" fontId="10" fillId="4" borderId="11" xfId="0" applyNumberFormat="1" applyFont="1" applyFill="1" applyBorder="1" applyAlignment="1" applyProtection="1">
      <alignment horizontal="center"/>
    </xf>
    <xf numFmtId="167" fontId="5" fillId="6" borderId="15" xfId="1" applyNumberFormat="1" applyFont="1" applyFill="1" applyBorder="1" applyAlignment="1" applyProtection="1">
      <alignment horizontal="center"/>
    </xf>
    <xf numFmtId="164" fontId="5" fillId="6" borderId="12" xfId="1" applyNumberFormat="1" applyFont="1" applyFill="1" applyBorder="1" applyAlignment="1" applyProtection="1">
      <alignment horizontal="center"/>
    </xf>
    <xf numFmtId="165" fontId="10" fillId="4" borderId="4" xfId="0" applyNumberFormat="1" applyFont="1" applyFill="1" applyBorder="1" applyAlignment="1" applyProtection="1">
      <alignment horizontal="center"/>
    </xf>
    <xf numFmtId="167" fontId="5" fillId="6" borderId="14" xfId="1" applyNumberFormat="1" applyFont="1" applyFill="1" applyBorder="1" applyAlignment="1" applyProtection="1">
      <alignment horizontal="center"/>
    </xf>
    <xf numFmtId="164" fontId="5" fillId="6" borderId="5" xfId="1" applyNumberFormat="1" applyFont="1" applyFill="1" applyBorder="1" applyAlignment="1" applyProtection="1">
      <alignment horizontal="center"/>
    </xf>
    <xf numFmtId="164" fontId="5" fillId="6" borderId="6" xfId="1" applyNumberFormat="1" applyFont="1" applyFill="1" applyBorder="1" applyAlignment="1" applyProtection="1">
      <alignment horizontal="center"/>
    </xf>
    <xf numFmtId="0" fontId="3" fillId="0" borderId="13" xfId="0" applyFont="1" applyFill="1" applyBorder="1" applyAlignment="1" applyProtection="1">
      <alignment horizontal="center"/>
    </xf>
    <xf numFmtId="0" fontId="3" fillId="0" borderId="14" xfId="0" applyFont="1" applyFill="1" applyBorder="1" applyAlignment="1" applyProtection="1">
      <alignment horizontal="center"/>
    </xf>
    <xf numFmtId="0" fontId="3" fillId="0" borderId="12" xfId="0" applyFont="1" applyFill="1" applyBorder="1" applyAlignment="1" applyProtection="1">
      <alignment horizontal="center"/>
      <protection locked="0"/>
    </xf>
    <xf numFmtId="166" fontId="3" fillId="3" borderId="1" xfId="0" applyNumberFormat="1" applyFont="1" applyFill="1" applyBorder="1" applyAlignment="1" applyProtection="1">
      <alignment horizontal="center"/>
      <protection locked="0"/>
    </xf>
    <xf numFmtId="166" fontId="3" fillId="3" borderId="2" xfId="0" applyNumberFormat="1" applyFont="1" applyFill="1" applyBorder="1" applyAlignment="1" applyProtection="1">
      <alignment horizontal="center"/>
      <protection locked="0"/>
    </xf>
    <xf numFmtId="166" fontId="3" fillId="3" borderId="3" xfId="0" applyNumberFormat="1" applyFont="1" applyFill="1" applyBorder="1" applyAlignment="1" applyProtection="1">
      <alignment horizontal="center"/>
      <protection locked="0"/>
    </xf>
    <xf numFmtId="0" fontId="5" fillId="2" borderId="7" xfId="1" applyFont="1" applyFill="1" applyBorder="1" applyAlignment="1" applyProtection="1"/>
    <xf numFmtId="0" fontId="5" fillId="2" borderId="9" xfId="1" applyFont="1" applyFill="1" applyBorder="1" applyAlignment="1" applyProtection="1"/>
    <xf numFmtId="0" fontId="5" fillId="2" borderId="11" xfId="1" applyFont="1" applyFill="1" applyBorder="1" applyAlignment="1" applyProtection="1">
      <alignment horizontal="left"/>
    </xf>
    <xf numFmtId="0" fontId="5" fillId="2" borderId="12" xfId="1" applyFont="1" applyFill="1" applyBorder="1" applyAlignment="1" applyProtection="1"/>
    <xf numFmtId="0" fontId="5" fillId="2" borderId="12" xfId="1" applyFont="1" applyFill="1" applyBorder="1" applyAlignment="1" applyProtection="1">
      <alignment horizontal="center"/>
    </xf>
    <xf numFmtId="166" fontId="3" fillId="3" borderId="11" xfId="0" applyNumberFormat="1" applyFont="1" applyFill="1" applyBorder="1" applyAlignment="1" applyProtection="1">
      <alignment horizontal="center"/>
      <protection locked="0"/>
    </xf>
    <xf numFmtId="166" fontId="3" fillId="3" borderId="0" xfId="0" applyNumberFormat="1" applyFont="1" applyFill="1" applyBorder="1" applyAlignment="1" applyProtection="1">
      <alignment horizontal="center"/>
      <protection locked="0"/>
    </xf>
    <xf numFmtId="166" fontId="3" fillId="3" borderId="12" xfId="0" applyNumberFormat="1" applyFont="1" applyFill="1" applyBorder="1" applyAlignment="1" applyProtection="1">
      <alignment horizontal="center"/>
      <protection locked="0"/>
    </xf>
    <xf numFmtId="0" fontId="5" fillId="2" borderId="11" xfId="1" applyFont="1" applyFill="1" applyBorder="1" applyAlignment="1" applyProtection="1"/>
    <xf numFmtId="0" fontId="10" fillId="0" borderId="2" xfId="0" applyFont="1" applyFill="1" applyBorder="1" applyAlignment="1" applyProtection="1">
      <alignment horizontal="center"/>
      <protection locked="0"/>
    </xf>
    <xf numFmtId="1" fontId="5" fillId="0" borderId="4" xfId="0" applyNumberFormat="1" applyFont="1" applyFill="1" applyBorder="1" applyAlignment="1" applyProtection="1">
      <alignment horizontal="center"/>
    </xf>
    <xf numFmtId="168" fontId="10" fillId="3" borderId="10" xfId="0" applyNumberFormat="1" applyFont="1" applyFill="1" applyBorder="1" applyAlignment="1" applyProtection="1">
      <alignment horizontal="center"/>
      <protection locked="0"/>
    </xf>
    <xf numFmtId="0" fontId="10" fillId="0" borderId="15" xfId="0" applyFont="1" applyFill="1" applyBorder="1" applyAlignment="1" applyProtection="1">
      <alignment horizontal="center"/>
      <protection locked="0"/>
    </xf>
    <xf numFmtId="0" fontId="10" fillId="0" borderId="6" xfId="0" applyFont="1" applyFill="1" applyBorder="1" applyAlignment="1" applyProtection="1">
      <alignment horizontal="center"/>
      <protection locked="0"/>
    </xf>
    <xf numFmtId="164" fontId="10" fillId="3" borderId="9" xfId="0" applyNumberFormat="1" applyFont="1" applyFill="1" applyBorder="1" applyAlignment="1" applyProtection="1">
      <alignment horizontal="center"/>
      <protection locked="0"/>
    </xf>
    <xf numFmtId="164" fontId="10" fillId="3" borderId="10" xfId="0" applyNumberFormat="1" applyFont="1" applyFill="1" applyBorder="1" applyAlignment="1" applyProtection="1">
      <alignment horizontal="center"/>
      <protection locked="0"/>
    </xf>
    <xf numFmtId="0" fontId="10" fillId="0" borderId="4" xfId="0" applyFont="1" applyFill="1" applyBorder="1" applyAlignment="1" applyProtection="1">
      <alignment horizontal="center"/>
      <protection locked="0"/>
    </xf>
    <xf numFmtId="0" fontId="10" fillId="0" borderId="7" xfId="0" applyFont="1" applyFill="1" applyBorder="1" applyProtection="1">
      <protection locked="0"/>
    </xf>
    <xf numFmtId="0" fontId="10" fillId="0" borderId="9" xfId="0" applyFont="1" applyFill="1" applyBorder="1" applyAlignment="1" applyProtection="1">
      <alignment horizontal="center"/>
      <protection locked="0"/>
    </xf>
    <xf numFmtId="0" fontId="10" fillId="0" borderId="5" xfId="0" applyFont="1" applyFill="1" applyBorder="1" applyAlignment="1" applyProtection="1">
      <alignment horizontal="center"/>
      <protection locked="0"/>
    </xf>
    <xf numFmtId="0" fontId="10" fillId="0" borderId="8" xfId="0" applyFont="1" applyFill="1" applyBorder="1" applyAlignment="1" applyProtection="1">
      <alignment horizontal="center"/>
      <protection locked="0"/>
    </xf>
    <xf numFmtId="0" fontId="10" fillId="0" borderId="0" xfId="0" applyFont="1" applyBorder="1" applyAlignment="1" applyProtection="1">
      <protection locked="0"/>
    </xf>
    <xf numFmtId="0" fontId="10" fillId="0" borderId="7" xfId="0" applyFont="1" applyBorder="1" applyAlignment="1" applyProtection="1">
      <alignment horizontal="center"/>
      <protection locked="0"/>
    </xf>
    <xf numFmtId="0" fontId="10" fillId="0" borderId="13" xfId="0" applyFont="1" applyBorder="1" applyAlignment="1" applyProtection="1">
      <alignment horizontal="center"/>
      <protection locked="0"/>
    </xf>
    <xf numFmtId="0" fontId="10" fillId="3" borderId="0" xfId="0" applyFont="1" applyFill="1" applyBorder="1" applyAlignment="1" applyProtection="1">
      <alignment horizontal="center"/>
      <protection locked="0"/>
    </xf>
    <xf numFmtId="0" fontId="10" fillId="3" borderId="12" xfId="0" applyFont="1" applyFill="1" applyBorder="1" applyAlignment="1" applyProtection="1">
      <alignment horizontal="center"/>
      <protection locked="0"/>
    </xf>
    <xf numFmtId="0" fontId="10" fillId="0" borderId="14" xfId="0" applyFont="1" applyBorder="1" applyAlignment="1" applyProtection="1">
      <alignment horizontal="center"/>
      <protection locked="0"/>
    </xf>
    <xf numFmtId="0" fontId="10" fillId="3" borderId="5" xfId="0" applyFont="1" applyFill="1" applyBorder="1" applyAlignment="1" applyProtection="1">
      <alignment horizontal="center"/>
      <protection locked="0"/>
    </xf>
    <xf numFmtId="0" fontId="10" fillId="3" borderId="6" xfId="0" applyFont="1" applyFill="1" applyBorder="1" applyAlignment="1" applyProtection="1">
      <alignment horizontal="center"/>
      <protection locked="0"/>
    </xf>
    <xf numFmtId="0" fontId="10" fillId="0" borderId="1" xfId="0" applyFont="1" applyBorder="1" applyAlignment="1" applyProtection="1">
      <protection locked="0"/>
    </xf>
    <xf numFmtId="0" fontId="10" fillId="0" borderId="7" xfId="0" applyFont="1" applyFill="1" applyBorder="1" applyAlignment="1" applyProtection="1">
      <alignment horizontal="center"/>
      <protection locked="0"/>
    </xf>
    <xf numFmtId="0" fontId="10" fillId="0" borderId="8" xfId="0" applyFont="1" applyBorder="1" applyAlignment="1" applyProtection="1">
      <alignment horizontal="center"/>
      <protection locked="0"/>
    </xf>
    <xf numFmtId="0" fontId="3" fillId="0" borderId="8" xfId="0" applyFont="1" applyFill="1" applyBorder="1" applyAlignment="1" applyProtection="1">
      <alignment horizontal="center"/>
      <protection locked="0"/>
    </xf>
    <xf numFmtId="0" fontId="10" fillId="0" borderId="4" xfId="0" applyFont="1" applyBorder="1" applyAlignment="1" applyProtection="1">
      <alignment horizontal="center"/>
      <protection locked="0"/>
    </xf>
    <xf numFmtId="1" fontId="3" fillId="0" borderId="1" xfId="0" applyNumberFormat="1" applyFont="1" applyFill="1" applyBorder="1" applyAlignment="1" applyProtection="1">
      <alignment horizontal="center"/>
      <protection locked="0"/>
    </xf>
    <xf numFmtId="166" fontId="10" fillId="3" borderId="3" xfId="0" applyNumberFormat="1" applyFont="1" applyFill="1" applyBorder="1" applyAlignment="1" applyProtection="1">
      <alignment horizontal="center"/>
      <protection locked="0"/>
    </xf>
    <xf numFmtId="1" fontId="3" fillId="0" borderId="11" xfId="0" applyNumberFormat="1" applyFont="1" applyFill="1" applyBorder="1" applyAlignment="1" applyProtection="1">
      <alignment horizontal="center"/>
      <protection locked="0"/>
    </xf>
    <xf numFmtId="166" fontId="10" fillId="3" borderId="12" xfId="0" applyNumberFormat="1" applyFont="1" applyFill="1" applyBorder="1" applyAlignment="1" applyProtection="1">
      <alignment horizontal="center"/>
      <protection locked="0"/>
    </xf>
    <xf numFmtId="1" fontId="5" fillId="0" borderId="4" xfId="0" applyNumberFormat="1" applyFont="1" applyFill="1" applyBorder="1" applyAlignment="1" applyProtection="1">
      <alignment horizontal="center"/>
      <protection locked="0"/>
    </xf>
    <xf numFmtId="166" fontId="5" fillId="3" borderId="4" xfId="0" applyNumberFormat="1" applyFont="1" applyFill="1" applyBorder="1" applyAlignment="1" applyProtection="1">
      <alignment horizontal="center"/>
      <protection locked="0"/>
    </xf>
    <xf numFmtId="166" fontId="5" fillId="3" borderId="5" xfId="0" applyNumberFormat="1" applyFont="1" applyFill="1" applyBorder="1" applyAlignment="1" applyProtection="1">
      <alignment horizontal="center"/>
      <protection locked="0"/>
    </xf>
    <xf numFmtId="166" fontId="10" fillId="3" borderId="6" xfId="0" applyNumberFormat="1" applyFont="1" applyFill="1" applyBorder="1" applyAlignment="1" applyProtection="1">
      <alignment horizontal="center"/>
      <protection locked="0"/>
    </xf>
    <xf numFmtId="0" fontId="3" fillId="0" borderId="0" xfId="0" applyFont="1" applyBorder="1" applyAlignment="1" applyProtection="1">
      <alignment horizontal="center"/>
      <protection locked="0"/>
    </xf>
    <xf numFmtId="0" fontId="3" fillId="0" borderId="0" xfId="0" applyFont="1" applyBorder="1" applyAlignment="1" applyProtection="1">
      <protection locked="0"/>
    </xf>
    <xf numFmtId="166" fontId="3" fillId="3" borderId="4" xfId="0" applyNumberFormat="1" applyFont="1" applyFill="1" applyBorder="1" applyAlignment="1" applyProtection="1">
      <alignment horizontal="center"/>
      <protection locked="0"/>
    </xf>
    <xf numFmtId="166" fontId="3" fillId="3" borderId="5" xfId="0" applyNumberFormat="1" applyFont="1" applyFill="1" applyBorder="1" applyAlignment="1" applyProtection="1">
      <alignment horizontal="center"/>
      <protection locked="0"/>
    </xf>
    <xf numFmtId="166" fontId="3" fillId="3" borderId="6" xfId="0" applyNumberFormat="1" applyFont="1" applyFill="1" applyBorder="1" applyAlignment="1" applyProtection="1">
      <alignment horizontal="center"/>
      <protection locked="0"/>
    </xf>
    <xf numFmtId="166" fontId="3" fillId="0" borderId="0" xfId="0" applyNumberFormat="1" applyFont="1" applyFill="1" applyBorder="1" applyAlignment="1" applyProtection="1">
      <alignment horizontal="center"/>
      <protection locked="0"/>
    </xf>
    <xf numFmtId="0" fontId="10" fillId="3" borderId="11" xfId="0" applyFont="1" applyFill="1" applyBorder="1" applyAlignment="1" applyProtection="1">
      <protection locked="0"/>
    </xf>
    <xf numFmtId="0" fontId="10" fillId="3" borderId="0" xfId="0" applyFont="1" applyFill="1" applyBorder="1" applyAlignment="1" applyProtection="1">
      <protection locked="0"/>
    </xf>
    <xf numFmtId="0" fontId="10" fillId="3" borderId="14" xfId="0" applyFont="1" applyFill="1" applyBorder="1" applyAlignment="1" applyProtection="1">
      <protection locked="0"/>
    </xf>
    <xf numFmtId="0" fontId="10" fillId="3" borderId="4" xfId="0" applyFont="1" applyFill="1" applyBorder="1" applyAlignment="1" applyProtection="1">
      <protection locked="0"/>
    </xf>
    <xf numFmtId="0" fontId="3" fillId="0" borderId="0" xfId="0" applyFont="1" applyFill="1" applyBorder="1" applyAlignment="1" applyProtection="1">
      <protection locked="0"/>
    </xf>
    <xf numFmtId="0" fontId="15" fillId="5" borderId="0" xfId="0" applyFont="1" applyFill="1" applyBorder="1" applyAlignment="1">
      <alignment horizontal="left"/>
    </xf>
    <xf numFmtId="164" fontId="24" fillId="3" borderId="13" xfId="0" applyNumberFormat="1" applyFont="1" applyFill="1" applyBorder="1" applyAlignment="1" applyProtection="1">
      <alignment horizontal="center"/>
      <protection locked="0"/>
    </xf>
    <xf numFmtId="164" fontId="24" fillId="3" borderId="15" xfId="0" applyNumberFormat="1" applyFont="1" applyFill="1" applyBorder="1" applyAlignment="1" applyProtection="1">
      <alignment horizontal="center"/>
      <protection locked="0"/>
    </xf>
    <xf numFmtId="164" fontId="24" fillId="3" borderId="14" xfId="0" applyNumberFormat="1" applyFont="1" applyFill="1" applyBorder="1" applyAlignment="1" applyProtection="1">
      <alignment horizontal="center"/>
      <protection locked="0"/>
    </xf>
    <xf numFmtId="0" fontId="10" fillId="0" borderId="2" xfId="0" applyFont="1" applyBorder="1" applyAlignment="1" applyProtection="1">
      <protection locked="0"/>
    </xf>
    <xf numFmtId="0" fontId="3" fillId="0" borderId="1" xfId="0" applyFont="1" applyFill="1" applyBorder="1" applyAlignment="1" applyProtection="1">
      <alignment horizontal="center"/>
      <protection locked="0"/>
    </xf>
    <xf numFmtId="0" fontId="3" fillId="0" borderId="2" xfId="0" applyFont="1" applyFill="1" applyBorder="1" applyAlignment="1" applyProtection="1">
      <alignment horizontal="center"/>
      <protection locked="0"/>
    </xf>
    <xf numFmtId="0" fontId="3" fillId="0" borderId="3" xfId="0" applyFont="1" applyFill="1" applyBorder="1" applyAlignment="1" applyProtection="1">
      <alignment horizontal="center"/>
      <protection locked="0"/>
    </xf>
    <xf numFmtId="0" fontId="10" fillId="3" borderId="8" xfId="0" applyFont="1" applyFill="1" applyBorder="1" applyAlignment="1" applyProtection="1"/>
    <xf numFmtId="0" fontId="10" fillId="3" borderId="9" xfId="0" applyFont="1" applyFill="1" applyBorder="1" applyAlignment="1" applyProtection="1"/>
    <xf numFmtId="0" fontId="10" fillId="0" borderId="7" xfId="0" applyFont="1" applyFill="1" applyBorder="1" applyAlignment="1" applyProtection="1"/>
    <xf numFmtId="0" fontId="10" fillId="0" borderId="9" xfId="0" applyFont="1" applyFill="1" applyBorder="1" applyAlignment="1" applyProtection="1"/>
    <xf numFmtId="0" fontId="10" fillId="3" borderId="7" xfId="0" applyFont="1" applyFill="1" applyBorder="1" applyAlignment="1" applyProtection="1">
      <alignment horizontal="center"/>
    </xf>
    <xf numFmtId="0" fontId="10" fillId="3" borderId="8" xfId="0" applyFont="1" applyFill="1" applyBorder="1" applyAlignment="1" applyProtection="1">
      <alignment horizontal="center"/>
    </xf>
    <xf numFmtId="0" fontId="10" fillId="3" borderId="9" xfId="0" applyFont="1" applyFill="1" applyBorder="1" applyAlignment="1" applyProtection="1">
      <alignment horizontal="center"/>
    </xf>
    <xf numFmtId="0" fontId="10" fillId="2" borderId="7" xfId="0" applyFont="1" applyFill="1" applyBorder="1" applyAlignment="1" applyProtection="1"/>
    <xf numFmtId="0" fontId="10" fillId="2" borderId="8" xfId="0" applyFont="1" applyFill="1" applyBorder="1" applyAlignment="1" applyProtection="1">
      <alignment horizontal="center"/>
    </xf>
    <xf numFmtId="167" fontId="10" fillId="2" borderId="1" xfId="0" applyNumberFormat="1" applyFont="1" applyFill="1" applyBorder="1" applyAlignment="1" applyProtection="1">
      <alignment horizontal="center"/>
    </xf>
    <xf numFmtId="164" fontId="10" fillId="2" borderId="1" xfId="0" applyNumberFormat="1" applyFont="1" applyFill="1" applyBorder="1" applyAlignment="1" applyProtection="1">
      <alignment horizontal="center"/>
    </xf>
    <xf numFmtId="164" fontId="10" fillId="2" borderId="2" xfId="0" applyNumberFormat="1" applyFont="1" applyFill="1" applyBorder="1" applyAlignment="1" applyProtection="1">
      <alignment horizontal="center"/>
    </xf>
    <xf numFmtId="164" fontId="10" fillId="2" borderId="3" xfId="0" applyNumberFormat="1" applyFont="1" applyFill="1" applyBorder="1" applyAlignment="1" applyProtection="1">
      <alignment horizontal="center"/>
    </xf>
    <xf numFmtId="164" fontId="3" fillId="2" borderId="2" xfId="0" quotePrefix="1" applyNumberFormat="1" applyFont="1" applyFill="1" applyBorder="1" applyAlignment="1" applyProtection="1">
      <alignment horizontal="center"/>
    </xf>
    <xf numFmtId="167" fontId="10" fillId="2" borderId="11" xfId="0" applyNumberFormat="1" applyFont="1" applyFill="1" applyBorder="1" applyAlignment="1" applyProtection="1">
      <alignment horizontal="center"/>
    </xf>
    <xf numFmtId="164" fontId="10" fillId="2" borderId="11" xfId="0" applyNumberFormat="1" applyFont="1" applyFill="1" applyBorder="1" applyAlignment="1" applyProtection="1">
      <alignment horizontal="center"/>
    </xf>
    <xf numFmtId="164" fontId="10" fillId="2" borderId="0" xfId="0" applyNumberFormat="1" applyFont="1" applyFill="1" applyBorder="1" applyAlignment="1" applyProtection="1">
      <alignment horizontal="center"/>
    </xf>
    <xf numFmtId="164" fontId="10" fillId="2" borderId="12" xfId="0" applyNumberFormat="1" applyFont="1" applyFill="1" applyBorder="1" applyAlignment="1" applyProtection="1">
      <alignment horizontal="center"/>
    </xf>
    <xf numFmtId="164" fontId="10" fillId="3" borderId="11" xfId="0" applyNumberFormat="1" applyFont="1" applyFill="1" applyBorder="1" applyAlignment="1" applyProtection="1">
      <alignment horizontal="center"/>
    </xf>
    <xf numFmtId="167" fontId="10" fillId="2" borderId="4" xfId="0" applyNumberFormat="1" applyFont="1" applyFill="1" applyBorder="1" applyAlignment="1" applyProtection="1">
      <alignment horizontal="center"/>
    </xf>
    <xf numFmtId="164" fontId="10" fillId="2" borderId="4" xfId="0" applyNumberFormat="1" applyFont="1" applyFill="1" applyBorder="1" applyAlignment="1" applyProtection="1">
      <alignment horizontal="center"/>
    </xf>
    <xf numFmtId="164" fontId="10" fillId="2" borderId="5" xfId="0" applyNumberFormat="1" applyFont="1" applyFill="1" applyBorder="1" applyAlignment="1" applyProtection="1">
      <alignment horizontal="center"/>
    </xf>
    <xf numFmtId="164" fontId="10" fillId="2" borderId="6" xfId="0" applyNumberFormat="1" applyFont="1" applyFill="1" applyBorder="1" applyAlignment="1" applyProtection="1">
      <alignment horizontal="center"/>
    </xf>
    <xf numFmtId="0" fontId="10" fillId="0" borderId="0" xfId="0" applyFont="1" applyFill="1" applyBorder="1" applyAlignment="1" applyProtection="1">
      <alignment wrapText="1"/>
    </xf>
    <xf numFmtId="167" fontId="10" fillId="0" borderId="0" xfId="0" applyNumberFormat="1" applyFont="1" applyFill="1" applyBorder="1" applyAlignment="1" applyProtection="1">
      <alignment horizontal="center"/>
    </xf>
    <xf numFmtId="164" fontId="10" fillId="0" borderId="0" xfId="0" applyNumberFormat="1" applyFont="1" applyFill="1" applyBorder="1" applyAlignment="1" applyProtection="1">
      <alignment horizontal="center"/>
    </xf>
    <xf numFmtId="0" fontId="3" fillId="0" borderId="8" xfId="0" applyFont="1" applyFill="1" applyBorder="1" applyAlignment="1" applyProtection="1"/>
    <xf numFmtId="0" fontId="10" fillId="4" borderId="7" xfId="0" applyFont="1" applyFill="1" applyBorder="1" applyAlignment="1" applyProtection="1">
      <alignment horizontal="center"/>
    </xf>
    <xf numFmtId="0" fontId="10" fillId="4" borderId="8" xfId="0" applyFont="1" applyFill="1" applyBorder="1" applyAlignment="1" applyProtection="1">
      <alignment horizontal="center"/>
    </xf>
    <xf numFmtId="0" fontId="10" fillId="4" borderId="9" xfId="0" applyFont="1" applyFill="1" applyBorder="1" applyAlignment="1" applyProtection="1">
      <alignment horizontal="center"/>
    </xf>
    <xf numFmtId="0" fontId="10" fillId="0" borderId="1" xfId="0" applyFont="1" applyBorder="1" applyAlignment="1" applyProtection="1">
      <alignment horizontal="center"/>
      <protection locked="0"/>
    </xf>
    <xf numFmtId="0" fontId="10" fillId="0" borderId="11" xfId="0" applyFont="1" applyBorder="1" applyAlignment="1" applyProtection="1">
      <protection locked="0"/>
    </xf>
    <xf numFmtId="0" fontId="22" fillId="0" borderId="7" xfId="0" applyFont="1" applyFill="1" applyBorder="1" applyAlignment="1" applyProtection="1"/>
    <xf numFmtId="164" fontId="10" fillId="7" borderId="4" xfId="0" applyNumberFormat="1" applyFont="1" applyFill="1" applyBorder="1" applyAlignment="1" applyProtection="1">
      <alignment horizontal="center"/>
    </xf>
    <xf numFmtId="164" fontId="10" fillId="7" borderId="5" xfId="0" applyNumberFormat="1" applyFont="1" applyFill="1" applyBorder="1" applyAlignment="1" applyProtection="1">
      <alignment horizontal="center"/>
    </xf>
    <xf numFmtId="164" fontId="10" fillId="7" borderId="6" xfId="0" applyNumberFormat="1" applyFont="1" applyFill="1" applyBorder="1" applyAlignment="1" applyProtection="1">
      <alignment horizontal="center"/>
    </xf>
    <xf numFmtId="0" fontId="10" fillId="2" borderId="8" xfId="0" applyFont="1" applyFill="1" applyBorder="1" applyAlignment="1" applyProtection="1"/>
    <xf numFmtId="0" fontId="10" fillId="2" borderId="9" xfId="0" applyFont="1" applyFill="1" applyBorder="1" applyAlignment="1" applyProtection="1"/>
    <xf numFmtId="0" fontId="0" fillId="0" borderId="0" xfId="0" applyProtection="1">
      <protection locked="0"/>
    </xf>
    <xf numFmtId="0" fontId="10" fillId="0" borderId="12" xfId="0" applyFont="1" applyBorder="1" applyAlignment="1" applyProtection="1">
      <protection locked="0"/>
    </xf>
    <xf numFmtId="0" fontId="3" fillId="0" borderId="2" xfId="0" applyFont="1" applyFill="1" applyBorder="1" applyAlignment="1" applyProtection="1">
      <protection locked="0"/>
    </xf>
    <xf numFmtId="0" fontId="10" fillId="2" borderId="7" xfId="0" applyFont="1" applyFill="1" applyBorder="1" applyAlignment="1" applyProtection="1">
      <alignment horizontal="right"/>
    </xf>
    <xf numFmtId="0" fontId="10" fillId="2" borderId="12" xfId="0" applyFont="1" applyFill="1" applyBorder="1" applyAlignment="1" applyProtection="1">
      <alignment horizontal="center"/>
    </xf>
    <xf numFmtId="0" fontId="10" fillId="0" borderId="0" xfId="0" applyFont="1" applyFill="1" applyBorder="1" applyAlignment="1" applyProtection="1">
      <alignment horizontal="center"/>
      <protection locked="0"/>
    </xf>
    <xf numFmtId="0" fontId="3" fillId="0" borderId="11" xfId="0" applyFont="1" applyFill="1" applyBorder="1" applyAlignment="1" applyProtection="1">
      <alignment horizontal="center"/>
      <protection locked="0"/>
    </xf>
    <xf numFmtId="0" fontId="10" fillId="2" borderId="0" xfId="0" applyFont="1" applyFill="1" applyBorder="1" applyAlignment="1" applyProtection="1">
      <alignment horizontal="center"/>
    </xf>
    <xf numFmtId="0" fontId="10" fillId="2" borderId="0" xfId="0" applyFont="1" applyFill="1" applyBorder="1" applyProtection="1"/>
    <xf numFmtId="0" fontId="10" fillId="2" borderId="0" xfId="0" applyFont="1" applyFill="1" applyBorder="1" applyAlignment="1" applyProtection="1">
      <alignment vertical="center"/>
    </xf>
    <xf numFmtId="0" fontId="3" fillId="0" borderId="0" xfId="6" applyFont="1" applyBorder="1" applyProtection="1"/>
    <xf numFmtId="0" fontId="10" fillId="0" borderId="0" xfId="0" applyFont="1" applyFill="1" applyBorder="1" applyProtection="1"/>
    <xf numFmtId="0" fontId="3" fillId="0" borderId="1" xfId="0" applyFont="1" applyFill="1" applyBorder="1" applyAlignment="1" applyProtection="1">
      <alignment horizontal="center" vertical="center"/>
    </xf>
    <xf numFmtId="0" fontId="3" fillId="0" borderId="2" xfId="0" applyFont="1" applyFill="1" applyBorder="1" applyAlignment="1" applyProtection="1">
      <alignment horizontal="center" vertical="center"/>
    </xf>
    <xf numFmtId="0" fontId="3" fillId="0" borderId="2" xfId="0" applyFont="1" applyFill="1" applyBorder="1" applyAlignment="1" applyProtection="1">
      <alignment horizontal="center" vertical="center" wrapText="1"/>
    </xf>
    <xf numFmtId="0" fontId="10" fillId="0" borderId="2" xfId="0" applyFont="1" applyFill="1" applyBorder="1" applyProtection="1"/>
    <xf numFmtId="0" fontId="3" fillId="0" borderId="11" xfId="0" applyFont="1" applyFill="1" applyBorder="1" applyAlignment="1" applyProtection="1">
      <alignment horizontal="center" vertical="center"/>
    </xf>
    <xf numFmtId="0" fontId="3" fillId="0" borderId="0" xfId="0" applyFont="1" applyFill="1" applyBorder="1" applyAlignment="1" applyProtection="1">
      <alignment horizontal="center" vertical="center"/>
    </xf>
    <xf numFmtId="0" fontId="3" fillId="0" borderId="0" xfId="0" applyFont="1" applyFill="1" applyBorder="1" applyAlignment="1" applyProtection="1">
      <alignment horizontal="left" vertical="center"/>
    </xf>
    <xf numFmtId="0" fontId="3" fillId="2" borderId="11" xfId="6" applyFont="1" applyFill="1" applyBorder="1" applyAlignment="1" applyProtection="1">
      <alignment horizontal="center"/>
    </xf>
    <xf numFmtId="0" fontId="3" fillId="2" borderId="0" xfId="6" applyFont="1" applyFill="1" applyBorder="1" applyAlignment="1" applyProtection="1">
      <alignment horizontal="center"/>
    </xf>
    <xf numFmtId="0" fontId="3" fillId="2" borderId="0" xfId="6" quotePrefix="1" applyFont="1" applyFill="1" applyBorder="1" applyAlignment="1" applyProtection="1">
      <alignment horizontal="center"/>
    </xf>
    <xf numFmtId="0" fontId="10" fillId="0" borderId="11" xfId="0" applyFont="1" applyFill="1" applyBorder="1" applyProtection="1"/>
    <xf numFmtId="0" fontId="3" fillId="0" borderId="0" xfId="6" quotePrefix="1" applyFont="1" applyFill="1" applyBorder="1" applyAlignment="1" applyProtection="1">
      <alignment horizontal="center"/>
    </xf>
    <xf numFmtId="0" fontId="10" fillId="0" borderId="0" xfId="0" applyFont="1" applyFill="1" applyBorder="1" applyAlignment="1" applyProtection="1">
      <alignment horizontal="right"/>
    </xf>
    <xf numFmtId="167" fontId="3" fillId="2" borderId="0" xfId="6" quotePrefix="1" applyNumberFormat="1" applyFont="1" applyFill="1" applyBorder="1" applyAlignment="1" applyProtection="1">
      <alignment horizontal="center"/>
    </xf>
    <xf numFmtId="0" fontId="3" fillId="8" borderId="0" xfId="6" quotePrefix="1" applyFont="1" applyFill="1" applyBorder="1" applyAlignment="1" applyProtection="1">
      <alignment horizontal="center"/>
    </xf>
    <xf numFmtId="0" fontId="3" fillId="2" borderId="4" xfId="6" applyFont="1" applyFill="1" applyBorder="1" applyAlignment="1" applyProtection="1">
      <alignment horizontal="center"/>
    </xf>
    <xf numFmtId="0" fontId="10" fillId="0" borderId="5" xfId="0" applyFont="1" applyFill="1" applyBorder="1" applyProtection="1"/>
    <xf numFmtId="0" fontId="10" fillId="2" borderId="5" xfId="0" applyFont="1" applyFill="1" applyBorder="1" applyAlignment="1" applyProtection="1">
      <alignment horizontal="center"/>
    </xf>
    <xf numFmtId="0" fontId="3" fillId="2" borderId="5" xfId="6" quotePrefix="1" applyFont="1" applyFill="1" applyBorder="1" applyAlignment="1" applyProtection="1">
      <alignment horizontal="center"/>
    </xf>
    <xf numFmtId="0" fontId="10" fillId="0" borderId="3" xfId="0" applyFont="1" applyFill="1" applyBorder="1" applyProtection="1"/>
    <xf numFmtId="0" fontId="10" fillId="0" borderId="12" xfId="0" applyFont="1" applyFill="1" applyBorder="1" applyProtection="1"/>
    <xf numFmtId="0" fontId="3" fillId="0" borderId="0" xfId="0" applyFont="1" applyFill="1" applyBorder="1" applyAlignment="1" applyProtection="1">
      <alignment horizontal="center" vertical="center" wrapText="1"/>
    </xf>
    <xf numFmtId="0" fontId="3" fillId="0" borderId="11" xfId="6" applyFont="1" applyFill="1" applyBorder="1" applyAlignment="1" applyProtection="1">
      <alignment horizontal="center"/>
    </xf>
    <xf numFmtId="0" fontId="3" fillId="2" borderId="5" xfId="6" applyFont="1" applyFill="1" applyBorder="1" applyAlignment="1" applyProtection="1">
      <alignment horizontal="center"/>
    </xf>
    <xf numFmtId="0" fontId="3" fillId="0" borderId="5" xfId="6" applyFont="1" applyBorder="1" applyProtection="1"/>
    <xf numFmtId="0" fontId="10" fillId="0" borderId="6" xfId="0" applyFont="1" applyFill="1" applyBorder="1" applyProtection="1"/>
    <xf numFmtId="0" fontId="3" fillId="3" borderId="2" xfId="0" applyFont="1" applyFill="1" applyBorder="1" applyAlignment="1" applyProtection="1">
      <alignment horizontal="center"/>
      <protection locked="0"/>
    </xf>
    <xf numFmtId="165" fontId="3" fillId="3" borderId="2" xfId="0" applyNumberFormat="1" applyFont="1" applyFill="1" applyBorder="1" applyAlignment="1" applyProtection="1">
      <alignment horizontal="center"/>
      <protection locked="0"/>
    </xf>
    <xf numFmtId="0" fontId="3" fillId="3" borderId="13" xfId="0" applyFont="1" applyFill="1" applyBorder="1" applyAlignment="1" applyProtection="1">
      <alignment horizontal="center"/>
      <protection locked="0"/>
    </xf>
    <xf numFmtId="166" fontId="3" fillId="3" borderId="13" xfId="0" applyNumberFormat="1" applyFont="1" applyFill="1" applyBorder="1" applyAlignment="1" applyProtection="1">
      <alignment horizontal="center"/>
      <protection locked="0"/>
    </xf>
    <xf numFmtId="0" fontId="3" fillId="3" borderId="0" xfId="0" applyFont="1" applyFill="1" applyBorder="1" applyAlignment="1" applyProtection="1">
      <alignment horizontal="center"/>
      <protection locked="0"/>
    </xf>
    <xf numFmtId="165" fontId="3" fillId="3" borderId="0" xfId="0" applyNumberFormat="1" applyFont="1" applyFill="1" applyBorder="1" applyAlignment="1" applyProtection="1">
      <alignment horizontal="center"/>
      <protection locked="0"/>
    </xf>
    <xf numFmtId="0" fontId="3" fillId="3" borderId="15" xfId="0" applyFont="1" applyFill="1" applyBorder="1" applyAlignment="1" applyProtection="1">
      <alignment horizontal="center"/>
      <protection locked="0"/>
    </xf>
    <xf numFmtId="166" fontId="3" fillId="3" borderId="15" xfId="0" applyNumberFormat="1" applyFont="1" applyFill="1" applyBorder="1" applyAlignment="1" applyProtection="1">
      <alignment horizontal="center"/>
      <protection locked="0"/>
    </xf>
    <xf numFmtId="2" fontId="5" fillId="3" borderId="15" xfId="0" applyNumberFormat="1" applyFont="1" applyFill="1" applyBorder="1" applyAlignment="1" applyProtection="1">
      <alignment horizontal="center"/>
      <protection locked="0"/>
    </xf>
    <xf numFmtId="0" fontId="5" fillId="3" borderId="0" xfId="1" applyFont="1" applyFill="1" applyBorder="1" applyAlignment="1" applyProtection="1">
      <alignment horizontal="center"/>
      <protection locked="0"/>
    </xf>
    <xf numFmtId="0" fontId="3" fillId="3" borderId="15" xfId="0" quotePrefix="1" applyFont="1" applyFill="1" applyBorder="1" applyAlignment="1" applyProtection="1">
      <alignment horizontal="center"/>
      <protection locked="0"/>
    </xf>
    <xf numFmtId="0" fontId="10" fillId="3" borderId="15" xfId="0" applyFont="1" applyFill="1" applyBorder="1" applyAlignment="1" applyProtection="1">
      <protection locked="0"/>
    </xf>
    <xf numFmtId="166" fontId="10" fillId="3" borderId="15" xfId="0" applyNumberFormat="1" applyFont="1" applyFill="1" applyBorder="1" applyAlignment="1" applyProtection="1">
      <protection locked="0"/>
    </xf>
    <xf numFmtId="166" fontId="10" fillId="3" borderId="0" xfId="0" applyNumberFormat="1" applyFont="1" applyFill="1" applyBorder="1" applyAlignment="1" applyProtection="1">
      <protection locked="0"/>
    </xf>
    <xf numFmtId="166" fontId="10" fillId="3" borderId="12" xfId="0" applyNumberFormat="1" applyFont="1" applyFill="1" applyBorder="1" applyAlignment="1" applyProtection="1">
      <protection locked="0"/>
    </xf>
    <xf numFmtId="0" fontId="10" fillId="3" borderId="5" xfId="0" applyFont="1" applyFill="1" applyBorder="1" applyAlignment="1" applyProtection="1">
      <protection locked="0"/>
    </xf>
    <xf numFmtId="166" fontId="10" fillId="3" borderId="14" xfId="0" applyNumberFormat="1" applyFont="1" applyFill="1" applyBorder="1" applyAlignment="1" applyProtection="1">
      <protection locked="0"/>
    </xf>
    <xf numFmtId="166" fontId="10" fillId="3" borderId="5" xfId="0" applyNumberFormat="1" applyFont="1" applyFill="1" applyBorder="1" applyAlignment="1" applyProtection="1">
      <protection locked="0"/>
    </xf>
    <xf numFmtId="166" fontId="10" fillId="3" borderId="6" xfId="0" applyNumberFormat="1" applyFont="1" applyFill="1" applyBorder="1" applyAlignment="1" applyProtection="1">
      <protection locked="0"/>
    </xf>
    <xf numFmtId="14" fontId="3" fillId="3" borderId="2" xfId="0" applyNumberFormat="1" applyFont="1" applyFill="1" applyBorder="1" applyAlignment="1" applyProtection="1">
      <alignment horizontal="center"/>
      <protection locked="0"/>
    </xf>
    <xf numFmtId="2" fontId="3" fillId="3" borderId="13" xfId="0" applyNumberFormat="1" applyFont="1" applyFill="1" applyBorder="1" applyAlignment="1" applyProtection="1">
      <alignment horizontal="center"/>
      <protection locked="0"/>
    </xf>
    <xf numFmtId="14" fontId="3" fillId="3" borderId="0" xfId="0" applyNumberFormat="1" applyFont="1" applyFill="1" applyBorder="1" applyAlignment="1" applyProtection="1">
      <alignment horizontal="center"/>
      <protection locked="0"/>
    </xf>
    <xf numFmtId="2" fontId="3" fillId="3" borderId="15" xfId="0" applyNumberFormat="1" applyFont="1" applyFill="1" applyBorder="1" applyAlignment="1" applyProtection="1">
      <alignment horizontal="center"/>
      <protection locked="0"/>
    </xf>
    <xf numFmtId="0" fontId="5" fillId="0" borderId="1" xfId="1" applyFont="1" applyBorder="1" applyAlignment="1" applyProtection="1"/>
    <xf numFmtId="0" fontId="5" fillId="0" borderId="11" xfId="1" applyFont="1" applyBorder="1" applyAlignment="1" applyProtection="1">
      <alignment horizontal="center"/>
    </xf>
    <xf numFmtId="0" fontId="3" fillId="0" borderId="1" xfId="0" applyFont="1" applyFill="1" applyBorder="1" applyAlignment="1" applyProtection="1">
      <alignment horizontal="center"/>
    </xf>
    <xf numFmtId="0" fontId="5" fillId="0" borderId="4" xfId="1" applyFont="1" applyBorder="1" applyAlignment="1" applyProtection="1">
      <alignment horizontal="center"/>
    </xf>
    <xf numFmtId="0" fontId="3" fillId="0" borderId="1" xfId="0" applyFont="1" applyBorder="1" applyAlignment="1" applyProtection="1"/>
    <xf numFmtId="0" fontId="3" fillId="0" borderId="4" xfId="0" applyFont="1" applyBorder="1" applyAlignment="1" applyProtection="1"/>
    <xf numFmtId="0" fontId="5" fillId="0" borderId="1" xfId="0" applyFont="1" applyFill="1" applyBorder="1" applyAlignment="1" applyProtection="1">
      <alignment horizontal="center"/>
    </xf>
    <xf numFmtId="0" fontId="3" fillId="0" borderId="11" xfId="0" applyFont="1" applyBorder="1" applyAlignment="1" applyProtection="1"/>
    <xf numFmtId="0" fontId="5" fillId="0" borderId="13" xfId="0" applyFont="1" applyFill="1" applyBorder="1" applyAlignment="1" applyProtection="1">
      <alignment horizontal="center"/>
    </xf>
    <xf numFmtId="0" fontId="8" fillId="0" borderId="15" xfId="1" applyFont="1" applyFill="1" applyBorder="1" applyAlignment="1" applyProtection="1">
      <alignment horizontal="center"/>
    </xf>
    <xf numFmtId="164" fontId="5" fillId="0" borderId="15" xfId="1" applyNumberFormat="1" applyFont="1" applyFill="1" applyBorder="1" applyAlignment="1" applyProtection="1">
      <alignment horizontal="center"/>
    </xf>
    <xf numFmtId="164" fontId="5" fillId="0" borderId="14" xfId="1" applyNumberFormat="1" applyFont="1" applyFill="1" applyBorder="1" applyAlignment="1" applyProtection="1">
      <alignment horizontal="center"/>
    </xf>
    <xf numFmtId="1" fontId="3" fillId="0" borderId="1" xfId="0" applyNumberFormat="1" applyFont="1" applyFill="1" applyBorder="1" applyAlignment="1" applyProtection="1">
      <alignment horizontal="center"/>
    </xf>
    <xf numFmtId="1" fontId="3" fillId="0" borderId="11" xfId="0" applyNumberFormat="1" applyFont="1" applyFill="1" applyBorder="1" applyAlignment="1" applyProtection="1">
      <alignment horizontal="center"/>
    </xf>
    <xf numFmtId="0" fontId="3" fillId="0" borderId="15" xfId="0" applyFont="1" applyFill="1" applyBorder="1" applyAlignment="1" applyProtection="1">
      <alignment horizontal="center"/>
    </xf>
    <xf numFmtId="0" fontId="10" fillId="0" borderId="15" xfId="0" applyFont="1" applyBorder="1" applyAlignment="1" applyProtection="1"/>
    <xf numFmtId="0" fontId="5" fillId="2" borderId="4" xfId="1" applyFont="1" applyFill="1" applyBorder="1" applyAlignment="1" applyProtection="1"/>
    <xf numFmtId="0" fontId="5" fillId="2" borderId="6" xfId="1" applyFont="1" applyFill="1" applyBorder="1" applyAlignment="1" applyProtection="1"/>
    <xf numFmtId="0" fontId="5" fillId="2" borderId="5" xfId="1" applyFont="1" applyFill="1" applyBorder="1" applyAlignment="1" applyProtection="1">
      <alignment horizontal="center"/>
    </xf>
    <xf numFmtId="0" fontId="5" fillId="2" borderId="6" xfId="1" applyFont="1" applyFill="1" applyBorder="1" applyAlignment="1" applyProtection="1">
      <alignment horizontal="center"/>
    </xf>
    <xf numFmtId="0" fontId="10" fillId="0" borderId="0" xfId="0" applyFont="1" applyAlignment="1" applyProtection="1">
      <alignment vertical="center" wrapText="1"/>
    </xf>
    <xf numFmtId="0" fontId="10" fillId="0" borderId="14" xfId="0" applyFont="1" applyBorder="1" applyAlignment="1" applyProtection="1"/>
    <xf numFmtId="0" fontId="26" fillId="0" borderId="0" xfId="0" applyFont="1" applyFill="1" applyBorder="1" applyAlignment="1" applyProtection="1">
      <alignment horizontal="left" wrapText="1"/>
    </xf>
    <xf numFmtId="0" fontId="5" fillId="0" borderId="0" xfId="0" applyFont="1" applyFill="1" applyBorder="1" applyAlignment="1" applyProtection="1">
      <alignment wrapText="1"/>
    </xf>
    <xf numFmtId="0" fontId="3" fillId="0" borderId="0" xfId="0" applyFont="1" applyFill="1" applyBorder="1" applyAlignment="1" applyProtection="1">
      <alignment wrapText="1"/>
    </xf>
    <xf numFmtId="0" fontId="5" fillId="0" borderId="0" xfId="0" applyFont="1" applyFill="1" applyBorder="1" applyAlignment="1" applyProtection="1">
      <alignment horizontal="center" wrapText="1"/>
    </xf>
    <xf numFmtId="0" fontId="10" fillId="0" borderId="1" xfId="0" applyFont="1" applyFill="1" applyBorder="1" applyAlignment="1" applyProtection="1">
      <alignment vertical="center"/>
    </xf>
    <xf numFmtId="0" fontId="26" fillId="0" borderId="3" xfId="0" applyFont="1" applyFill="1" applyBorder="1" applyAlignment="1" applyProtection="1">
      <alignment horizontal="left" wrapText="1"/>
    </xf>
    <xf numFmtId="0" fontId="10" fillId="0" borderId="11" xfId="0" applyFont="1" applyFill="1" applyBorder="1" applyAlignment="1" applyProtection="1">
      <alignment vertical="center"/>
    </xf>
    <xf numFmtId="0" fontId="26" fillId="0" borderId="12" xfId="0" applyFont="1" applyFill="1" applyBorder="1" applyAlignment="1" applyProtection="1">
      <alignment horizontal="left" wrapText="1"/>
    </xf>
    <xf numFmtId="0" fontId="10" fillId="0" borderId="0" xfId="0" applyFont="1" applyFill="1" applyBorder="1" applyAlignment="1" applyProtection="1">
      <alignment vertical="center"/>
    </xf>
    <xf numFmtId="0" fontId="10" fillId="2" borderId="11" xfId="0" applyFont="1" applyFill="1" applyBorder="1" applyAlignment="1" applyProtection="1">
      <alignment horizontal="center" vertical="center"/>
    </xf>
    <xf numFmtId="0" fontId="26" fillId="2" borderId="12" xfId="0" applyFont="1" applyFill="1" applyBorder="1" applyAlignment="1" applyProtection="1">
      <alignment horizontal="left" wrapText="1"/>
    </xf>
    <xf numFmtId="0" fontId="10" fillId="2" borderId="12" xfId="0" applyFont="1" applyFill="1" applyBorder="1" applyAlignment="1" applyProtection="1">
      <alignment wrapText="1"/>
    </xf>
    <xf numFmtId="0" fontId="10" fillId="0" borderId="0" xfId="0" applyFont="1" applyFill="1" applyBorder="1" applyAlignment="1" applyProtection="1">
      <alignment horizontal="left" wrapText="1"/>
    </xf>
    <xf numFmtId="0" fontId="10" fillId="2" borderId="4" xfId="0" applyFont="1" applyFill="1" applyBorder="1" applyAlignment="1" applyProtection="1">
      <alignment horizontal="center" vertical="center"/>
    </xf>
    <xf numFmtId="0" fontId="10" fillId="2" borderId="6" xfId="0" applyFont="1" applyFill="1" applyBorder="1" applyAlignment="1" applyProtection="1"/>
    <xf numFmtId="0" fontId="3" fillId="2" borderId="12" xfId="6" quotePrefix="1" applyFont="1" applyFill="1" applyBorder="1" applyAlignment="1" applyProtection="1">
      <alignment horizontal="center"/>
    </xf>
    <xf numFmtId="0" fontId="3" fillId="2" borderId="6" xfId="6" quotePrefix="1" applyFont="1" applyFill="1" applyBorder="1" applyAlignment="1" applyProtection="1">
      <alignment horizontal="center"/>
    </xf>
    <xf numFmtId="0" fontId="3" fillId="0" borderId="2" xfId="0" applyFont="1" applyFill="1" applyBorder="1" applyAlignment="1" applyProtection="1">
      <alignment horizontal="center" wrapText="1"/>
      <protection locked="0"/>
    </xf>
    <xf numFmtId="166" fontId="3" fillId="0" borderId="2" xfId="0" applyNumberFormat="1" applyFont="1" applyFill="1" applyBorder="1" applyAlignment="1" applyProtection="1">
      <protection locked="0"/>
    </xf>
    <xf numFmtId="0" fontId="10" fillId="0" borderId="3" xfId="0" applyFont="1" applyBorder="1" applyAlignment="1" applyProtection="1">
      <protection locked="0"/>
    </xf>
    <xf numFmtId="0" fontId="10" fillId="0" borderId="0" xfId="0" applyFont="1" applyBorder="1" applyAlignment="1" applyProtection="1">
      <alignment horizontal="center"/>
      <protection locked="0"/>
    </xf>
    <xf numFmtId="0" fontId="3" fillId="0" borderId="0" xfId="0" applyFont="1" applyFill="1" applyBorder="1" applyAlignment="1" applyProtection="1">
      <alignment horizontal="center" wrapText="1"/>
      <protection locked="0"/>
    </xf>
    <xf numFmtId="49" fontId="3" fillId="3" borderId="2" xfId="0" applyNumberFormat="1" applyFont="1" applyFill="1" applyBorder="1" applyAlignment="1" applyProtection="1">
      <alignment horizontal="center"/>
      <protection locked="0"/>
    </xf>
    <xf numFmtId="0" fontId="10" fillId="3" borderId="2" xfId="0" applyFont="1" applyFill="1" applyBorder="1" applyAlignment="1" applyProtection="1">
      <protection locked="0"/>
    </xf>
    <xf numFmtId="0" fontId="3" fillId="3" borderId="2" xfId="0" applyFont="1" applyFill="1" applyBorder="1" applyAlignment="1" applyProtection="1">
      <protection locked="0"/>
    </xf>
    <xf numFmtId="0" fontId="3" fillId="3" borderId="3" xfId="0" applyFont="1" applyFill="1" applyBorder="1" applyAlignment="1" applyProtection="1">
      <protection locked="0"/>
    </xf>
    <xf numFmtId="49" fontId="3" fillId="3" borderId="0" xfId="0" applyNumberFormat="1" applyFont="1" applyFill="1" applyBorder="1" applyAlignment="1" applyProtection="1">
      <alignment horizontal="center"/>
      <protection locked="0"/>
    </xf>
    <xf numFmtId="0" fontId="10" fillId="3" borderId="12" xfId="0" applyFont="1" applyFill="1" applyBorder="1" applyAlignment="1" applyProtection="1">
      <protection locked="0"/>
    </xf>
    <xf numFmtId="0" fontId="3" fillId="3" borderId="0" xfId="0" applyFont="1" applyFill="1" applyBorder="1" applyAlignment="1" applyProtection="1">
      <protection locked="0"/>
    </xf>
    <xf numFmtId="0" fontId="3" fillId="3" borderId="5" xfId="0" applyFont="1" applyFill="1" applyBorder="1" applyAlignment="1" applyProtection="1">
      <alignment horizontal="center"/>
      <protection locked="0"/>
    </xf>
    <xf numFmtId="165" fontId="3" fillId="3" borderId="5" xfId="0" applyNumberFormat="1" applyFont="1" applyFill="1" applyBorder="1" applyAlignment="1" applyProtection="1">
      <alignment horizontal="center"/>
      <protection locked="0"/>
    </xf>
    <xf numFmtId="49" fontId="3" fillId="3" borderId="5" xfId="0" applyNumberFormat="1" applyFont="1" applyFill="1" applyBorder="1" applyAlignment="1" applyProtection="1">
      <alignment horizontal="center"/>
      <protection locked="0"/>
    </xf>
    <xf numFmtId="0" fontId="3" fillId="3" borderId="14" xfId="0" applyFont="1" applyFill="1" applyBorder="1" applyAlignment="1" applyProtection="1">
      <alignment horizontal="center"/>
      <protection locked="0"/>
    </xf>
    <xf numFmtId="0" fontId="3" fillId="3" borderId="5" xfId="0" applyFont="1" applyFill="1" applyBorder="1" applyAlignment="1" applyProtection="1">
      <protection locked="0"/>
    </xf>
    <xf numFmtId="0" fontId="10" fillId="3" borderId="6" xfId="0" applyFont="1" applyFill="1" applyBorder="1" applyAlignment="1" applyProtection="1">
      <protection locked="0"/>
    </xf>
    <xf numFmtId="0" fontId="5" fillId="0" borderId="0" xfId="0" applyFont="1" applyFill="1" applyBorder="1" applyAlignment="1" applyProtection="1">
      <protection locked="0"/>
    </xf>
    <xf numFmtId="0" fontId="10" fillId="0" borderId="0" xfId="0" applyFont="1" applyBorder="1" applyAlignment="1" applyProtection="1">
      <alignment horizontal="left"/>
      <protection locked="0"/>
    </xf>
    <xf numFmtId="0" fontId="5" fillId="0" borderId="2" xfId="0" applyFont="1" applyFill="1" applyBorder="1" applyAlignment="1" applyProtection="1">
      <alignment horizontal="left"/>
      <protection locked="0"/>
    </xf>
    <xf numFmtId="0" fontId="10" fillId="0" borderId="10" xfId="0" applyFont="1" applyBorder="1" applyAlignment="1" applyProtection="1">
      <alignment horizontal="center"/>
      <protection locked="0"/>
    </xf>
    <xf numFmtId="0" fontId="10" fillId="0" borderId="1" xfId="0" applyFont="1" applyBorder="1" applyAlignment="1" applyProtection="1">
      <alignment horizontal="right"/>
      <protection locked="0"/>
    </xf>
    <xf numFmtId="0" fontId="10" fillId="0" borderId="2" xfId="0" applyFont="1" applyBorder="1" applyAlignment="1" applyProtection="1">
      <alignment horizontal="center"/>
      <protection locked="0"/>
    </xf>
    <xf numFmtId="0" fontId="10" fillId="0" borderId="3" xfId="0" applyFont="1" applyBorder="1" applyAlignment="1" applyProtection="1">
      <alignment horizontal="center"/>
      <protection locked="0"/>
    </xf>
    <xf numFmtId="0" fontId="10" fillId="0" borderId="5" xfId="0" applyFont="1" applyBorder="1" applyAlignment="1" applyProtection="1">
      <alignment horizontal="center"/>
      <protection locked="0"/>
    </xf>
    <xf numFmtId="0" fontId="3" fillId="0" borderId="5" xfId="0" applyFont="1" applyFill="1" applyBorder="1" applyAlignment="1" applyProtection="1">
      <alignment horizontal="center" wrapText="1"/>
      <protection locked="0"/>
    </xf>
    <xf numFmtId="0" fontId="3" fillId="0" borderId="5" xfId="0" applyFont="1" applyFill="1" applyBorder="1" applyAlignment="1" applyProtection="1">
      <alignment horizontal="center"/>
      <protection locked="0"/>
    </xf>
    <xf numFmtId="0" fontId="5" fillId="0" borderId="5" xfId="0" applyFont="1" applyFill="1" applyBorder="1" applyAlignment="1" applyProtection="1">
      <alignment horizontal="center"/>
      <protection locked="0"/>
    </xf>
    <xf numFmtId="0" fontId="5" fillId="0" borderId="6" xfId="0" applyFont="1" applyFill="1" applyBorder="1" applyAlignment="1" applyProtection="1">
      <alignment horizontal="center"/>
      <protection locked="0"/>
    </xf>
    <xf numFmtId="0" fontId="10" fillId="0" borderId="15" xfId="0" applyFont="1" applyBorder="1" applyAlignment="1" applyProtection="1">
      <alignment horizontal="center"/>
      <protection locked="0"/>
    </xf>
    <xf numFmtId="166" fontId="10" fillId="3" borderId="15" xfId="0" applyNumberFormat="1" applyFont="1" applyFill="1" applyBorder="1" applyAlignment="1" applyProtection="1">
      <alignment horizontal="center"/>
      <protection locked="0"/>
    </xf>
    <xf numFmtId="0" fontId="10" fillId="0" borderId="4" xfId="0" applyFont="1" applyBorder="1" applyAlignment="1" applyProtection="1">
      <protection locked="0"/>
    </xf>
    <xf numFmtId="0" fontId="10" fillId="0" borderId="6" xfId="0" applyFont="1" applyBorder="1" applyAlignment="1" applyProtection="1">
      <protection locked="0"/>
    </xf>
    <xf numFmtId="0" fontId="5" fillId="3" borderId="2" xfId="0" applyFont="1" applyFill="1" applyBorder="1" applyAlignment="1" applyProtection="1">
      <alignment horizontal="center"/>
      <protection locked="0"/>
    </xf>
    <xf numFmtId="164" fontId="3" fillId="3" borderId="1" xfId="0" applyNumberFormat="1" applyFont="1" applyFill="1" applyBorder="1" applyAlignment="1" applyProtection="1">
      <alignment horizontal="center"/>
      <protection locked="0"/>
    </xf>
    <xf numFmtId="0" fontId="10" fillId="3" borderId="3" xfId="0" applyFont="1" applyFill="1" applyBorder="1" applyAlignment="1" applyProtection="1">
      <protection locked="0"/>
    </xf>
    <xf numFmtId="0" fontId="10" fillId="0" borderId="11" xfId="0" applyFont="1" applyBorder="1" applyAlignment="1" applyProtection="1">
      <alignment horizontal="center"/>
      <protection locked="0"/>
    </xf>
    <xf numFmtId="164" fontId="10" fillId="3" borderId="0" xfId="0" applyNumberFormat="1" applyFont="1" applyFill="1" applyBorder="1" applyAlignment="1" applyProtection="1">
      <alignment horizontal="center"/>
      <protection locked="0"/>
    </xf>
    <xf numFmtId="164" fontId="10" fillId="3" borderId="12" xfId="0" applyNumberFormat="1" applyFont="1" applyFill="1" applyBorder="1" applyAlignment="1" applyProtection="1">
      <alignment horizontal="center"/>
      <protection locked="0"/>
    </xf>
    <xf numFmtId="0" fontId="5" fillId="3" borderId="0" xfId="0" applyFont="1" applyFill="1" applyBorder="1" applyAlignment="1" applyProtection="1">
      <alignment horizontal="center"/>
      <protection locked="0"/>
    </xf>
    <xf numFmtId="164" fontId="3" fillId="3" borderId="11" xfId="0" applyNumberFormat="1" applyFont="1" applyFill="1" applyBorder="1" applyAlignment="1" applyProtection="1">
      <alignment horizontal="center"/>
      <protection locked="0"/>
    </xf>
    <xf numFmtId="164" fontId="10" fillId="3" borderId="5" xfId="0" applyNumberFormat="1" applyFont="1" applyFill="1" applyBorder="1" applyAlignment="1" applyProtection="1">
      <alignment horizontal="center"/>
      <protection locked="0"/>
    </xf>
    <xf numFmtId="164" fontId="10" fillId="3" borderId="6" xfId="0" applyNumberFormat="1" applyFont="1" applyFill="1" applyBorder="1" applyAlignment="1" applyProtection="1">
      <alignment horizontal="center"/>
      <protection locked="0"/>
    </xf>
    <xf numFmtId="166" fontId="10" fillId="0" borderId="0" xfId="0" applyNumberFormat="1" applyFont="1" applyFill="1" applyBorder="1" applyAlignment="1" applyProtection="1">
      <alignment horizontal="center"/>
      <protection locked="0"/>
    </xf>
    <xf numFmtId="0" fontId="24" fillId="3" borderId="0" xfId="0" applyFont="1" applyFill="1" applyBorder="1" applyAlignment="1" applyProtection="1">
      <alignment horizontal="center"/>
      <protection locked="0"/>
    </xf>
    <xf numFmtId="166" fontId="10" fillId="3" borderId="4" xfId="0" applyNumberFormat="1" applyFont="1" applyFill="1" applyBorder="1" applyAlignment="1" applyProtection="1">
      <alignment horizontal="center"/>
      <protection locked="0"/>
    </xf>
    <xf numFmtId="0" fontId="10" fillId="0" borderId="7" xfId="0" applyFont="1" applyBorder="1" applyAlignment="1" applyProtection="1">
      <protection locked="0"/>
    </xf>
    <xf numFmtId="0" fontId="10" fillId="0" borderId="8" xfId="0" applyFont="1" applyBorder="1" applyAlignment="1" applyProtection="1">
      <protection locked="0"/>
    </xf>
    <xf numFmtId="0" fontId="10" fillId="0" borderId="9" xfId="0" applyFont="1" applyBorder="1" applyAlignment="1" applyProtection="1">
      <alignment horizontal="center"/>
      <protection locked="0"/>
    </xf>
    <xf numFmtId="0" fontId="10" fillId="3" borderId="1" xfId="0" applyFont="1" applyFill="1" applyBorder="1" applyAlignment="1" applyProtection="1">
      <alignment horizontal="center"/>
      <protection locked="0"/>
    </xf>
    <xf numFmtId="0" fontId="10" fillId="3" borderId="3" xfId="0" applyFont="1" applyFill="1" applyBorder="1" applyAlignment="1" applyProtection="1">
      <alignment horizontal="center"/>
      <protection locked="0"/>
    </xf>
    <xf numFmtId="166" fontId="10" fillId="3" borderId="0" xfId="0" applyNumberFormat="1" applyFont="1" applyFill="1" applyBorder="1" applyAlignment="1" applyProtection="1">
      <alignment horizontal="center"/>
      <protection locked="0"/>
    </xf>
    <xf numFmtId="0" fontId="10" fillId="3" borderId="11" xfId="0" applyFont="1" applyFill="1" applyBorder="1" applyAlignment="1" applyProtection="1">
      <alignment horizontal="center"/>
      <protection locked="0"/>
    </xf>
    <xf numFmtId="0" fontId="3" fillId="3" borderId="3" xfId="0" applyFont="1" applyFill="1" applyBorder="1" applyAlignment="1" applyProtection="1">
      <alignment horizontal="center"/>
      <protection locked="0"/>
    </xf>
    <xf numFmtId="164" fontId="3" fillId="3" borderId="2" xfId="0" applyNumberFormat="1" applyFont="1" applyFill="1" applyBorder="1" applyAlignment="1" applyProtection="1">
      <alignment horizontal="center"/>
      <protection locked="0"/>
    </xf>
    <xf numFmtId="166" fontId="10" fillId="3" borderId="5" xfId="0" applyNumberFormat="1" applyFont="1" applyFill="1" applyBorder="1" applyAlignment="1" applyProtection="1">
      <alignment horizontal="center"/>
      <protection locked="0"/>
    </xf>
    <xf numFmtId="0" fontId="10" fillId="0" borderId="0" xfId="0" applyNumberFormat="1" applyFont="1" applyFill="1" applyBorder="1" applyAlignment="1" applyProtection="1">
      <alignment horizontal="center"/>
      <protection locked="0"/>
    </xf>
    <xf numFmtId="0" fontId="3" fillId="3" borderId="12" xfId="0" applyFont="1" applyFill="1" applyBorder="1" applyAlignment="1" applyProtection="1">
      <alignment horizontal="center"/>
      <protection locked="0"/>
    </xf>
    <xf numFmtId="164" fontId="3" fillId="3" borderId="0" xfId="0" applyNumberFormat="1" applyFont="1" applyFill="1" applyBorder="1" applyAlignment="1" applyProtection="1">
      <alignment horizontal="center"/>
      <protection locked="0"/>
    </xf>
    <xf numFmtId="166" fontId="10" fillId="3" borderId="11" xfId="0" applyNumberFormat="1" applyFont="1" applyFill="1" applyBorder="1" applyAlignment="1" applyProtection="1">
      <alignment horizontal="center"/>
      <protection locked="0"/>
    </xf>
    <xf numFmtId="0" fontId="10" fillId="3" borderId="4" xfId="0" applyFont="1" applyFill="1" applyBorder="1" applyAlignment="1" applyProtection="1">
      <alignment horizontal="center"/>
      <protection locked="0"/>
    </xf>
    <xf numFmtId="0" fontId="3" fillId="3" borderId="11" xfId="0" applyFont="1" applyFill="1" applyBorder="1" applyAlignment="1" applyProtection="1">
      <alignment horizontal="center"/>
      <protection locked="0"/>
    </xf>
    <xf numFmtId="0" fontId="3" fillId="3" borderId="12" xfId="0" applyFont="1" applyFill="1" applyBorder="1" applyAlignment="1" applyProtection="1">
      <protection locked="0"/>
    </xf>
    <xf numFmtId="0" fontId="5" fillId="3" borderId="1" xfId="0" applyFont="1" applyFill="1" applyBorder="1" applyAlignment="1" applyProtection="1">
      <alignment horizontal="center"/>
      <protection locked="0"/>
    </xf>
    <xf numFmtId="164" fontId="3" fillId="3" borderId="3" xfId="0" applyNumberFormat="1" applyFont="1" applyFill="1" applyBorder="1" applyAlignment="1" applyProtection="1">
      <alignment horizontal="center"/>
      <protection locked="0"/>
    </xf>
    <xf numFmtId="0" fontId="5" fillId="3" borderId="11" xfId="0" applyFont="1" applyFill="1" applyBorder="1" applyAlignment="1" applyProtection="1">
      <alignment horizontal="center"/>
      <protection locked="0"/>
    </xf>
    <xf numFmtId="164" fontId="3" fillId="3" borderId="12" xfId="0" applyNumberFormat="1" applyFont="1" applyFill="1" applyBorder="1" applyAlignment="1" applyProtection="1">
      <alignment horizontal="center"/>
      <protection locked="0"/>
    </xf>
    <xf numFmtId="0" fontId="5" fillId="3" borderId="4" xfId="0" applyFont="1" applyFill="1" applyBorder="1" applyAlignment="1" applyProtection="1">
      <alignment horizontal="center"/>
      <protection locked="0"/>
    </xf>
    <xf numFmtId="0" fontId="3" fillId="3" borderId="6" xfId="0" applyFont="1" applyFill="1" applyBorder="1" applyAlignment="1" applyProtection="1">
      <alignment horizontal="center"/>
      <protection locked="0"/>
    </xf>
    <xf numFmtId="164" fontId="3" fillId="3" borderId="5" xfId="0" applyNumberFormat="1" applyFont="1" applyFill="1" applyBorder="1" applyAlignment="1" applyProtection="1">
      <alignment horizontal="center"/>
      <protection locked="0"/>
    </xf>
    <xf numFmtId="164" fontId="3" fillId="3" borderId="6" xfId="0" applyNumberFormat="1" applyFont="1" applyFill="1" applyBorder="1" applyAlignment="1" applyProtection="1">
      <alignment horizontal="center"/>
      <protection locked="0"/>
    </xf>
    <xf numFmtId="0" fontId="10" fillId="0" borderId="5" xfId="0" applyFont="1" applyBorder="1" applyAlignment="1" applyProtection="1">
      <protection locked="0"/>
    </xf>
    <xf numFmtId="0" fontId="3" fillId="3" borderId="6" xfId="0" applyFont="1" applyFill="1" applyBorder="1" applyAlignment="1" applyProtection="1">
      <protection locked="0"/>
    </xf>
    <xf numFmtId="0" fontId="10" fillId="0" borderId="0" xfId="0" applyFont="1" applyProtection="1">
      <protection locked="0"/>
    </xf>
    <xf numFmtId="0" fontId="10" fillId="3" borderId="13" xfId="0" applyFont="1" applyFill="1" applyBorder="1" applyAlignment="1" applyProtection="1">
      <alignment horizontal="center"/>
      <protection locked="0"/>
    </xf>
    <xf numFmtId="0" fontId="10" fillId="3" borderId="7" xfId="0" applyFont="1" applyFill="1" applyBorder="1" applyAlignment="1" applyProtection="1">
      <alignment horizontal="center"/>
      <protection locked="0"/>
    </xf>
    <xf numFmtId="165" fontId="3" fillId="3" borderId="8" xfId="0" applyNumberFormat="1" applyFont="1" applyFill="1" applyBorder="1" applyAlignment="1" applyProtection="1">
      <alignment horizontal="center"/>
      <protection locked="0"/>
    </xf>
    <xf numFmtId="165" fontId="3" fillId="3" borderId="9" xfId="0" applyNumberFormat="1" applyFont="1" applyFill="1" applyBorder="1" applyAlignment="1" applyProtection="1">
      <alignment horizontal="center"/>
      <protection locked="0"/>
    </xf>
    <xf numFmtId="0" fontId="10" fillId="3" borderId="15" xfId="0" applyFont="1" applyFill="1" applyBorder="1" applyAlignment="1" applyProtection="1">
      <alignment horizontal="center"/>
      <protection locked="0"/>
    </xf>
    <xf numFmtId="0" fontId="0" fillId="0" borderId="11" xfId="0" applyBorder="1" applyAlignment="1" applyProtection="1">
      <alignment horizontal="center"/>
      <protection locked="0"/>
    </xf>
    <xf numFmtId="164" fontId="10" fillId="3" borderId="2" xfId="0" applyNumberFormat="1" applyFont="1" applyFill="1" applyBorder="1" applyAlignment="1" applyProtection="1">
      <alignment horizontal="center"/>
      <protection locked="0"/>
    </xf>
    <xf numFmtId="164" fontId="10" fillId="3" borderId="3" xfId="0" applyNumberFormat="1" applyFont="1" applyFill="1" applyBorder="1" applyAlignment="1" applyProtection="1">
      <alignment horizontal="center"/>
      <protection locked="0"/>
    </xf>
    <xf numFmtId="0" fontId="10" fillId="3" borderId="14" xfId="0" applyFont="1" applyFill="1" applyBorder="1" applyAlignment="1" applyProtection="1">
      <alignment horizontal="center"/>
      <protection locked="0"/>
    </xf>
    <xf numFmtId="0" fontId="30" fillId="0" borderId="11" xfId="0" applyFont="1" applyBorder="1" applyAlignment="1" applyProtection="1">
      <alignment horizontal="center"/>
      <protection locked="0"/>
    </xf>
    <xf numFmtId="0" fontId="23" fillId="3" borderId="0" xfId="0" applyFont="1" applyFill="1" applyBorder="1" applyAlignment="1" applyProtection="1">
      <alignment horizontal="center"/>
      <protection locked="0"/>
    </xf>
    <xf numFmtId="0" fontId="23" fillId="3" borderId="12" xfId="0" applyFont="1" applyFill="1" applyBorder="1" applyAlignment="1" applyProtection="1">
      <alignment horizontal="center"/>
      <protection locked="0"/>
    </xf>
    <xf numFmtId="166" fontId="32" fillId="3" borderId="0" xfId="0" applyNumberFormat="1" applyFont="1" applyFill="1" applyBorder="1" applyAlignment="1" applyProtection="1">
      <alignment horizontal="center"/>
      <protection locked="0"/>
    </xf>
    <xf numFmtId="0" fontId="0" fillId="0" borderId="4" xfId="0" applyBorder="1" applyAlignment="1" applyProtection="1">
      <alignment horizontal="center"/>
      <protection locked="0"/>
    </xf>
    <xf numFmtId="166" fontId="32" fillId="3" borderId="5" xfId="0" applyNumberFormat="1" applyFont="1" applyFill="1" applyBorder="1" applyAlignment="1" applyProtection="1">
      <alignment horizontal="center"/>
      <protection locked="0"/>
    </xf>
    <xf numFmtId="166" fontId="10" fillId="3" borderId="1" xfId="0" applyNumberFormat="1" applyFont="1" applyFill="1" applyBorder="1" applyAlignment="1" applyProtection="1">
      <alignment horizontal="center"/>
      <protection locked="0"/>
    </xf>
    <xf numFmtId="166" fontId="10" fillId="3" borderId="2" xfId="0" applyNumberFormat="1" applyFont="1" applyFill="1" applyBorder="1" applyAlignment="1" applyProtection="1">
      <alignment horizontal="center"/>
      <protection locked="0"/>
    </xf>
    <xf numFmtId="0" fontId="10" fillId="3" borderId="2" xfId="0" applyFont="1" applyFill="1" applyBorder="1" applyAlignment="1" applyProtection="1">
      <alignment horizontal="center"/>
      <protection locked="0"/>
    </xf>
    <xf numFmtId="0" fontId="10" fillId="3" borderId="0" xfId="0" applyFont="1" applyFill="1" applyBorder="1" applyAlignment="1" applyProtection="1">
      <alignment horizontal="center" vertical="center"/>
      <protection locked="0"/>
    </xf>
    <xf numFmtId="0" fontId="10" fillId="3" borderId="11" xfId="0" applyFont="1" applyFill="1" applyBorder="1" applyAlignment="1" applyProtection="1">
      <alignment horizontal="center" vertical="center"/>
      <protection locked="0"/>
    </xf>
    <xf numFmtId="0" fontId="5" fillId="3" borderId="12" xfId="0" applyFont="1" applyFill="1" applyBorder="1" applyAlignment="1" applyProtection="1">
      <alignment horizontal="center"/>
      <protection locked="0"/>
    </xf>
    <xf numFmtId="164" fontId="5" fillId="3" borderId="0" xfId="0" applyNumberFormat="1" applyFont="1" applyFill="1" applyBorder="1" applyAlignment="1" applyProtection="1">
      <alignment horizontal="center"/>
      <protection locked="0"/>
    </xf>
    <xf numFmtId="164" fontId="5" fillId="3" borderId="12" xfId="0" applyNumberFormat="1" applyFont="1" applyFill="1" applyBorder="1" applyAlignment="1" applyProtection="1">
      <alignment horizontal="center"/>
      <protection locked="0"/>
    </xf>
    <xf numFmtId="165" fontId="5" fillId="3" borderId="0" xfId="0" applyNumberFormat="1" applyFont="1" applyFill="1" applyBorder="1" applyAlignment="1" applyProtection="1">
      <alignment horizontal="center"/>
      <protection locked="0"/>
    </xf>
    <xf numFmtId="0" fontId="10" fillId="3" borderId="15" xfId="0" applyFont="1" applyFill="1" applyBorder="1" applyAlignment="1" applyProtection="1">
      <alignment horizontal="center" vertical="center"/>
      <protection locked="0"/>
    </xf>
    <xf numFmtId="0" fontId="10" fillId="3" borderId="14" xfId="0" applyFont="1" applyFill="1" applyBorder="1" applyAlignment="1" applyProtection="1">
      <alignment horizontal="center" vertical="center"/>
      <protection locked="0"/>
    </xf>
    <xf numFmtId="166" fontId="3" fillId="0" borderId="0" xfId="0" applyNumberFormat="1" applyFont="1" applyBorder="1" applyAlignment="1" applyProtection="1">
      <alignment horizontal="center"/>
    </xf>
    <xf numFmtId="168" fontId="3" fillId="0" borderId="0" xfId="0" applyNumberFormat="1" applyFont="1" applyBorder="1" applyAlignment="1" applyProtection="1"/>
    <xf numFmtId="0" fontId="3" fillId="0" borderId="3" xfId="0" applyFont="1" applyBorder="1" applyAlignment="1">
      <alignment horizontal="center" vertical="center"/>
    </xf>
    <xf numFmtId="0" fontId="3" fillId="0" borderId="2" xfId="0" applyFont="1" applyBorder="1" applyAlignment="1">
      <alignment horizontal="center" vertical="center"/>
    </xf>
    <xf numFmtId="0" fontId="3" fillId="2" borderId="0" xfId="6" applyFont="1" applyFill="1" applyAlignment="1">
      <alignment horizontal="left"/>
    </xf>
    <xf numFmtId="0" fontId="3" fillId="2" borderId="12" xfId="6" applyFont="1" applyFill="1" applyBorder="1" applyAlignment="1">
      <alignment horizontal="left"/>
    </xf>
    <xf numFmtId="0" fontId="3" fillId="2" borderId="5" xfId="6" applyFont="1" applyFill="1" applyBorder="1" applyAlignment="1">
      <alignment horizontal="left"/>
    </xf>
    <xf numFmtId="0" fontId="3" fillId="2" borderId="6" xfId="6" applyFont="1" applyFill="1" applyBorder="1" applyAlignment="1">
      <alignment horizontal="left"/>
    </xf>
    <xf numFmtId="166" fontId="5" fillId="3" borderId="6" xfId="0" applyNumberFormat="1" applyFont="1" applyFill="1" applyBorder="1" applyAlignment="1" applyProtection="1">
      <alignment horizontal="center"/>
      <protection locked="0"/>
    </xf>
    <xf numFmtId="0" fontId="10" fillId="0" borderId="0" xfId="0" applyFont="1"/>
    <xf numFmtId="0" fontId="3" fillId="0" borderId="13" xfId="0" applyFont="1" applyBorder="1" applyAlignment="1">
      <alignment horizontal="center" vertical="center"/>
    </xf>
    <xf numFmtId="0" fontId="3" fillId="0" borderId="15" xfId="0" applyFont="1" applyBorder="1" applyAlignment="1">
      <alignment horizontal="center" vertical="center"/>
    </xf>
    <xf numFmtId="0" fontId="3" fillId="2" borderId="15" xfId="6" applyFont="1" applyFill="1" applyBorder="1" applyAlignment="1">
      <alignment horizontal="center"/>
    </xf>
    <xf numFmtId="0" fontId="3" fillId="2" borderId="14" xfId="6" applyFont="1" applyFill="1" applyBorder="1" applyAlignment="1">
      <alignment horizontal="center"/>
    </xf>
    <xf numFmtId="164" fontId="10" fillId="0" borderId="0" xfId="0" applyNumberFormat="1" applyFont="1" applyAlignment="1" applyProtection="1">
      <alignment horizontal="center"/>
      <protection locked="0"/>
    </xf>
    <xf numFmtId="0" fontId="3" fillId="0" borderId="2" xfId="0" applyFont="1" applyFill="1" applyBorder="1" applyAlignment="1" applyProtection="1">
      <alignment vertical="center"/>
    </xf>
    <xf numFmtId="0" fontId="3" fillId="0" borderId="0" xfId="0" applyFont="1" applyFill="1" applyBorder="1" applyAlignment="1" applyProtection="1">
      <alignment vertical="center"/>
    </xf>
    <xf numFmtId="0" fontId="3" fillId="2" borderId="0" xfId="6" applyFont="1" applyFill="1" applyBorder="1" applyAlignment="1" applyProtection="1"/>
    <xf numFmtId="0" fontId="3" fillId="2" borderId="5" xfId="6" applyFont="1" applyFill="1" applyBorder="1" applyAlignment="1" applyProtection="1"/>
    <xf numFmtId="0" fontId="3" fillId="0" borderId="0" xfId="6" applyFont="1" applyFill="1" applyBorder="1" applyAlignment="1" applyProtection="1"/>
    <xf numFmtId="166" fontId="5" fillId="3" borderId="2" xfId="0" applyNumberFormat="1" applyFont="1" applyFill="1" applyBorder="1" applyAlignment="1" applyProtection="1">
      <alignment horizontal="center"/>
      <protection locked="0"/>
    </xf>
    <xf numFmtId="166" fontId="5" fillId="3" borderId="3" xfId="0" applyNumberFormat="1" applyFont="1" applyFill="1" applyBorder="1" applyAlignment="1" applyProtection="1">
      <alignment horizontal="center"/>
      <protection locked="0"/>
    </xf>
    <xf numFmtId="166" fontId="24" fillId="3" borderId="11" xfId="0" applyNumberFormat="1" applyFont="1" applyFill="1" applyBorder="1" applyAlignment="1" applyProtection="1">
      <alignment horizontal="center"/>
      <protection locked="0"/>
    </xf>
    <xf numFmtId="166" fontId="24" fillId="3" borderId="0" xfId="0" applyNumberFormat="1" applyFont="1" applyFill="1" applyBorder="1" applyAlignment="1" applyProtection="1">
      <alignment horizontal="center"/>
      <protection locked="0"/>
    </xf>
    <xf numFmtId="166" fontId="24" fillId="3" borderId="12" xfId="0" applyNumberFormat="1" applyFont="1" applyFill="1" applyBorder="1" applyAlignment="1" applyProtection="1">
      <alignment horizontal="center"/>
      <protection locked="0"/>
    </xf>
    <xf numFmtId="166" fontId="24" fillId="3" borderId="4" xfId="0" applyNumberFormat="1" applyFont="1" applyFill="1" applyBorder="1" applyAlignment="1" applyProtection="1">
      <alignment horizontal="center"/>
      <protection locked="0"/>
    </xf>
    <xf numFmtId="166" fontId="24" fillId="3" borderId="5" xfId="0" applyNumberFormat="1" applyFont="1" applyFill="1" applyBorder="1" applyAlignment="1" applyProtection="1">
      <alignment horizontal="center"/>
      <protection locked="0"/>
    </xf>
    <xf numFmtId="166" fontId="24" fillId="3" borderId="6" xfId="0" applyNumberFormat="1" applyFont="1" applyFill="1" applyBorder="1" applyAlignment="1" applyProtection="1">
      <alignment horizontal="center"/>
      <protection locked="0"/>
    </xf>
    <xf numFmtId="0" fontId="3" fillId="0" borderId="2" xfId="6" applyFont="1" applyFill="1" applyBorder="1" applyAlignment="1" applyProtection="1">
      <alignment horizontal="left"/>
    </xf>
    <xf numFmtId="0" fontId="3" fillId="0" borderId="3" xfId="6" applyFont="1" applyFill="1" applyBorder="1" applyAlignment="1" applyProtection="1">
      <alignment horizontal="left"/>
    </xf>
    <xf numFmtId="0" fontId="3" fillId="0" borderId="12" xfId="0" applyFont="1" applyFill="1" applyBorder="1" applyAlignment="1" applyProtection="1">
      <alignment horizontal="left" vertical="center"/>
    </xf>
    <xf numFmtId="0" fontId="3" fillId="2" borderId="0" xfId="6" applyFont="1" applyFill="1" applyBorder="1" applyAlignment="1" applyProtection="1">
      <alignment horizontal="left"/>
    </xf>
    <xf numFmtId="0" fontId="3" fillId="2" borderId="12" xfId="6" applyFont="1" applyFill="1" applyBorder="1" applyAlignment="1" applyProtection="1">
      <alignment horizontal="left"/>
    </xf>
    <xf numFmtId="167" fontId="5" fillId="2" borderId="12" xfId="1" applyNumberFormat="1" applyFont="1" applyFill="1" applyBorder="1" applyAlignment="1" applyProtection="1">
      <alignment horizontal="center"/>
    </xf>
    <xf numFmtId="14" fontId="3" fillId="3" borderId="4" xfId="0" applyNumberFormat="1" applyFont="1" applyFill="1" applyBorder="1" applyAlignment="1" applyProtection="1">
      <alignment horizontal="center"/>
      <protection locked="0"/>
    </xf>
    <xf numFmtId="2" fontId="3" fillId="3" borderId="14" xfId="0" applyNumberFormat="1" applyFont="1" applyFill="1" applyBorder="1" applyAlignment="1" applyProtection="1">
      <alignment horizontal="center"/>
      <protection locked="0"/>
    </xf>
    <xf numFmtId="166" fontId="3" fillId="3" borderId="14" xfId="0" applyNumberFormat="1" applyFont="1" applyFill="1" applyBorder="1" applyAlignment="1" applyProtection="1">
      <alignment horizontal="center"/>
      <protection locked="0"/>
    </xf>
    <xf numFmtId="166" fontId="10" fillId="3" borderId="11" xfId="0" applyNumberFormat="1" applyFont="1" applyFill="1" applyBorder="1" applyAlignment="1" applyProtection="1">
      <protection locked="0"/>
    </xf>
    <xf numFmtId="0" fontId="10" fillId="0" borderId="4" xfId="0" applyFont="1" applyBorder="1" applyProtection="1">
      <protection locked="0"/>
    </xf>
    <xf numFmtId="0" fontId="10" fillId="0" borderId="5" xfId="0" applyFont="1" applyBorder="1" applyProtection="1">
      <protection locked="0"/>
    </xf>
    <xf numFmtId="0" fontId="10" fillId="0" borderId="7" xfId="0" applyFont="1" applyBorder="1" applyProtection="1">
      <protection locked="0"/>
    </xf>
    <xf numFmtId="0" fontId="10" fillId="0" borderId="8" xfId="0" applyFont="1" applyBorder="1" applyProtection="1">
      <protection locked="0"/>
    </xf>
    <xf numFmtId="0" fontId="10" fillId="0" borderId="9" xfId="0" applyFont="1" applyBorder="1" applyProtection="1">
      <protection locked="0"/>
    </xf>
    <xf numFmtId="0" fontId="34" fillId="0" borderId="0" xfId="0" applyFont="1" applyAlignment="1">
      <alignment vertical="center" wrapText="1"/>
    </xf>
    <xf numFmtId="0" fontId="3" fillId="0" borderId="1" xfId="0" applyFont="1" applyBorder="1" applyAlignment="1" applyProtection="1">
      <alignment horizontal="center"/>
      <protection locked="0"/>
    </xf>
    <xf numFmtId="0" fontId="3" fillId="0" borderId="13" xfId="0" applyFont="1" applyBorder="1" applyAlignment="1" applyProtection="1">
      <alignment horizontal="center"/>
      <protection locked="0"/>
    </xf>
    <xf numFmtId="0" fontId="10" fillId="0" borderId="13" xfId="0" applyFont="1" applyBorder="1" applyAlignment="1">
      <alignment horizontal="right"/>
    </xf>
    <xf numFmtId="0" fontId="10" fillId="0" borderId="15" xfId="0" applyFont="1" applyBorder="1" applyAlignment="1">
      <alignment horizontal="right"/>
    </xf>
    <xf numFmtId="0" fontId="10" fillId="0" borderId="14" xfId="0" applyFont="1" applyBorder="1" applyAlignment="1">
      <alignment horizontal="right"/>
    </xf>
    <xf numFmtId="164" fontId="24" fillId="0" borderId="0" xfId="0" applyNumberFormat="1" applyFont="1" applyAlignment="1" applyProtection="1">
      <alignment horizontal="center"/>
      <protection locked="0"/>
    </xf>
    <xf numFmtId="0" fontId="3" fillId="0" borderId="11" xfId="0" applyFont="1" applyBorder="1" applyAlignment="1" applyProtection="1">
      <alignment horizontal="center"/>
      <protection locked="0"/>
    </xf>
    <xf numFmtId="0" fontId="3" fillId="0" borderId="7" xfId="0" applyFont="1" applyBorder="1" applyAlignment="1" applyProtection="1">
      <alignment horizontal="center"/>
      <protection locked="0"/>
    </xf>
    <xf numFmtId="0" fontId="3" fillId="0" borderId="10" xfId="0" applyFont="1" applyBorder="1" applyAlignment="1" applyProtection="1">
      <alignment horizontal="center"/>
      <protection locked="0"/>
    </xf>
    <xf numFmtId="164" fontId="24" fillId="0" borderId="0" xfId="0" applyNumberFormat="1" applyFont="1" applyAlignment="1" applyProtection="1">
      <alignment horizontal="right"/>
      <protection locked="0"/>
    </xf>
    <xf numFmtId="0" fontId="3" fillId="0" borderId="7" xfId="0" applyFont="1" applyBorder="1" applyAlignment="1"/>
    <xf numFmtId="0" fontId="3" fillId="0" borderId="8" xfId="0" applyFont="1" applyBorder="1" applyAlignment="1"/>
    <xf numFmtId="0" fontId="3" fillId="0" borderId="9" xfId="0" applyFont="1" applyBorder="1" applyAlignment="1"/>
    <xf numFmtId="0" fontId="10" fillId="0" borderId="2" xfId="0" applyFont="1" applyBorder="1" applyProtection="1">
      <protection locked="0"/>
    </xf>
    <xf numFmtId="0" fontId="10" fillId="0" borderId="11" xfId="0" applyFont="1" applyBorder="1" applyProtection="1">
      <protection locked="0"/>
    </xf>
    <xf numFmtId="0" fontId="10" fillId="0" borderId="1" xfId="0" applyFont="1" applyBorder="1" applyProtection="1">
      <protection locked="0"/>
    </xf>
    <xf numFmtId="164" fontId="10" fillId="0" borderId="3" xfId="0" applyNumberFormat="1" applyFont="1" applyBorder="1" applyAlignment="1" applyProtection="1">
      <alignment horizontal="center"/>
      <protection locked="0"/>
    </xf>
    <xf numFmtId="0" fontId="1" fillId="0" borderId="11" xfId="0" applyFont="1" applyBorder="1" applyAlignment="1">
      <alignment horizontal="center"/>
    </xf>
    <xf numFmtId="0" fontId="1" fillId="0" borderId="0" xfId="0" applyFont="1" applyBorder="1" applyAlignment="1">
      <alignment horizontal="center"/>
    </xf>
    <xf numFmtId="0" fontId="1" fillId="0" borderId="12" xfId="0" applyFont="1" applyBorder="1" applyAlignment="1">
      <alignment horizontal="center"/>
    </xf>
    <xf numFmtId="1" fontId="10" fillId="2" borderId="11" xfId="0" applyNumberFormat="1" applyFont="1" applyFill="1" applyBorder="1" applyAlignment="1" applyProtection="1">
      <alignment horizontal="center"/>
      <protection locked="0"/>
    </xf>
    <xf numFmtId="1" fontId="10" fillId="2" borderId="0" xfId="0" applyNumberFormat="1" applyFont="1" applyFill="1" applyBorder="1" applyAlignment="1" applyProtection="1">
      <alignment horizontal="center"/>
      <protection locked="0"/>
    </xf>
    <xf numFmtId="164" fontId="10" fillId="2" borderId="12" xfId="0" applyNumberFormat="1" applyFont="1" applyFill="1" applyBorder="1" applyAlignment="1" applyProtection="1">
      <alignment horizontal="center"/>
      <protection locked="0"/>
    </xf>
    <xf numFmtId="0" fontId="10" fillId="0" borderId="0" xfId="0" applyFont="1" applyBorder="1" applyProtection="1">
      <protection locked="0"/>
    </xf>
    <xf numFmtId="164" fontId="10" fillId="2" borderId="6" xfId="0" applyNumberFormat="1" applyFont="1" applyFill="1" applyBorder="1" applyAlignment="1" applyProtection="1">
      <alignment horizontal="center"/>
      <protection locked="0"/>
    </xf>
    <xf numFmtId="0" fontId="3" fillId="0" borderId="3" xfId="0" applyFont="1" applyBorder="1" applyAlignment="1" applyProtection="1">
      <alignment horizontal="center"/>
      <protection locked="0"/>
    </xf>
    <xf numFmtId="0" fontId="3" fillId="0" borderId="12" xfId="0" applyFont="1" applyBorder="1" applyAlignment="1" applyProtection="1">
      <alignment horizontal="center"/>
      <protection locked="0"/>
    </xf>
    <xf numFmtId="166" fontId="31" fillId="3" borderId="3" xfId="0" applyNumberFormat="1" applyFont="1" applyFill="1" applyBorder="1" applyAlignment="1" applyProtection="1">
      <alignment horizontal="center"/>
      <protection locked="0"/>
    </xf>
    <xf numFmtId="14" fontId="10" fillId="3" borderId="0" xfId="0" applyNumberFormat="1" applyFont="1" applyFill="1" applyBorder="1" applyAlignment="1" applyProtection="1">
      <protection locked="0"/>
    </xf>
    <xf numFmtId="0" fontId="15" fillId="5" borderId="0" xfId="0" applyFont="1" applyFill="1" applyBorder="1" applyAlignment="1">
      <alignment horizontal="center" wrapText="1"/>
    </xf>
    <xf numFmtId="0" fontId="0" fillId="0" borderId="17" xfId="0" applyFill="1" applyBorder="1" applyAlignment="1">
      <alignment horizontal="left"/>
    </xf>
    <xf numFmtId="0" fontId="0" fillId="0" borderId="16" xfId="0" applyFill="1" applyBorder="1" applyAlignment="1">
      <alignment horizontal="left"/>
    </xf>
    <xf numFmtId="17" fontId="0" fillId="0" borderId="24" xfId="0" applyNumberFormat="1" applyFill="1" applyBorder="1" applyAlignment="1">
      <alignment horizontal="left"/>
    </xf>
    <xf numFmtId="17" fontId="0" fillId="0" borderId="25" xfId="0" applyNumberFormat="1" applyFill="1" applyBorder="1" applyAlignment="1">
      <alignment horizontal="left"/>
    </xf>
    <xf numFmtId="17" fontId="0" fillId="0" borderId="26" xfId="0" applyNumberFormat="1" applyFill="1" applyBorder="1" applyAlignment="1">
      <alignment horizontal="left"/>
    </xf>
    <xf numFmtId="0" fontId="17" fillId="0" borderId="23" xfId="0" applyFont="1" applyFill="1" applyBorder="1" applyAlignment="1">
      <alignment horizontal="center" vertical="center"/>
    </xf>
    <xf numFmtId="0" fontId="17" fillId="0" borderId="22" xfId="0" applyFont="1" applyFill="1" applyBorder="1" applyAlignment="1">
      <alignment horizontal="center" vertical="center"/>
    </xf>
    <xf numFmtId="0" fontId="17" fillId="0" borderId="21" xfId="0" applyFont="1" applyFill="1" applyBorder="1" applyAlignment="1">
      <alignment horizontal="center" vertical="center"/>
    </xf>
    <xf numFmtId="0" fontId="0" fillId="0" borderId="20" xfId="0" applyFill="1" applyBorder="1" applyAlignment="1">
      <alignment horizontal="left"/>
    </xf>
    <xf numFmtId="0" fontId="0" fillId="0" borderId="19" xfId="0" applyFill="1" applyBorder="1" applyAlignment="1">
      <alignment horizontal="left"/>
    </xf>
    <xf numFmtId="0" fontId="0" fillId="0" borderId="18" xfId="0" applyFill="1" applyBorder="1" applyAlignment="1">
      <alignment horizontal="left"/>
    </xf>
    <xf numFmtId="0" fontId="3" fillId="0" borderId="11" xfId="0" applyFont="1" applyBorder="1" applyAlignment="1">
      <alignment horizontal="center" vertical="center"/>
    </xf>
    <xf numFmtId="0" fontId="3" fillId="0" borderId="0" xfId="0" applyFont="1" applyAlignment="1">
      <alignment horizontal="center" vertical="center"/>
    </xf>
    <xf numFmtId="0" fontId="3" fillId="0" borderId="12" xfId="0" applyFont="1" applyBorder="1" applyAlignment="1">
      <alignment horizontal="center" vertical="center"/>
    </xf>
    <xf numFmtId="0" fontId="10" fillId="2" borderId="7" xfId="0" applyFont="1" applyFill="1" applyBorder="1" applyAlignment="1" applyProtection="1">
      <alignment horizontal="right"/>
    </xf>
    <xf numFmtId="0" fontId="10" fillId="2" borderId="9" xfId="0" applyFont="1" applyFill="1" applyBorder="1" applyAlignment="1" applyProtection="1">
      <alignment horizontal="right"/>
    </xf>
    <xf numFmtId="0" fontId="10" fillId="2" borderId="1" xfId="0" applyFont="1" applyFill="1" applyBorder="1" applyAlignment="1" applyProtection="1">
      <alignment horizontal="center" wrapText="1"/>
    </xf>
    <xf numFmtId="0" fontId="10" fillId="2" borderId="11" xfId="0" applyFont="1" applyFill="1" applyBorder="1" applyAlignment="1" applyProtection="1">
      <alignment horizontal="center" wrapText="1"/>
    </xf>
    <xf numFmtId="0" fontId="10" fillId="2" borderId="4" xfId="0" applyFont="1" applyFill="1" applyBorder="1" applyAlignment="1" applyProtection="1">
      <alignment horizontal="center" wrapText="1"/>
    </xf>
    <xf numFmtId="0" fontId="10" fillId="2" borderId="2" xfId="0" applyFont="1" applyFill="1" applyBorder="1" applyAlignment="1" applyProtection="1">
      <alignment horizontal="center" wrapText="1"/>
    </xf>
    <xf numFmtId="0" fontId="10" fillId="2" borderId="0" xfId="0" applyFont="1" applyFill="1" applyBorder="1" applyAlignment="1" applyProtection="1">
      <alignment horizontal="center" wrapText="1"/>
    </xf>
    <xf numFmtId="0" fontId="10" fillId="2" borderId="5" xfId="0" applyFont="1" applyFill="1" applyBorder="1" applyAlignment="1" applyProtection="1">
      <alignment horizontal="center" wrapText="1"/>
    </xf>
    <xf numFmtId="0" fontId="3" fillId="2" borderId="2" xfId="0" applyFont="1" applyFill="1" applyBorder="1" applyAlignment="1" applyProtection="1">
      <alignment horizontal="center" wrapText="1"/>
    </xf>
    <xf numFmtId="0" fontId="3" fillId="2" borderId="0" xfId="0" applyFont="1" applyFill="1" applyBorder="1" applyAlignment="1" applyProtection="1">
      <alignment horizontal="center" wrapText="1"/>
    </xf>
    <xf numFmtId="0" fontId="3" fillId="2" borderId="5" xfId="0" applyFont="1" applyFill="1" applyBorder="1" applyAlignment="1" applyProtection="1">
      <alignment horizontal="center" wrapText="1"/>
    </xf>
    <xf numFmtId="0" fontId="5" fillId="2" borderId="11" xfId="0" applyFont="1" applyFill="1" applyBorder="1" applyAlignment="1" applyProtection="1">
      <alignment horizontal="center" wrapText="1"/>
    </xf>
    <xf numFmtId="0" fontId="5" fillId="2" borderId="12" xfId="0" applyFont="1" applyFill="1" applyBorder="1" applyAlignment="1" applyProtection="1">
      <alignment horizontal="center" wrapText="1"/>
    </xf>
    <xf numFmtId="0" fontId="5" fillId="2" borderId="4" xfId="0" applyFont="1" applyFill="1" applyBorder="1" applyAlignment="1" applyProtection="1">
      <alignment horizontal="center" wrapText="1"/>
    </xf>
    <xf numFmtId="0" fontId="5" fillId="2" borderId="6" xfId="0" applyFont="1" applyFill="1" applyBorder="1" applyAlignment="1" applyProtection="1">
      <alignment horizontal="center" wrapText="1"/>
    </xf>
    <xf numFmtId="0" fontId="10" fillId="2" borderId="11" xfId="0" applyFont="1" applyFill="1" applyBorder="1" applyAlignment="1" applyProtection="1">
      <alignment horizontal="center"/>
    </xf>
    <xf numFmtId="0" fontId="10" fillId="2" borderId="12" xfId="0" applyFont="1" applyFill="1" applyBorder="1" applyAlignment="1" applyProtection="1">
      <alignment horizontal="center"/>
    </xf>
    <xf numFmtId="0" fontId="21" fillId="2" borderId="13" xfId="0" applyFont="1" applyFill="1" applyBorder="1" applyAlignment="1" applyProtection="1">
      <alignment horizontal="center" vertical="center" textRotation="90" wrapText="1"/>
    </xf>
    <xf numFmtId="0" fontId="21" fillId="2" borderId="15" xfId="0" applyFont="1" applyFill="1" applyBorder="1" applyAlignment="1" applyProtection="1">
      <alignment horizontal="center" vertical="center" textRotation="90" wrapText="1"/>
    </xf>
    <xf numFmtId="0" fontId="21" fillId="2" borderId="14" xfId="0" applyFont="1" applyFill="1" applyBorder="1" applyAlignment="1" applyProtection="1">
      <alignment horizontal="center" vertical="center" textRotation="90" wrapText="1"/>
    </xf>
    <xf numFmtId="0" fontId="10" fillId="2" borderId="3" xfId="0" applyFont="1" applyFill="1" applyBorder="1" applyAlignment="1" applyProtection="1">
      <alignment horizontal="center" wrapText="1"/>
    </xf>
    <xf numFmtId="0" fontId="10" fillId="2" borderId="12" xfId="0" applyFont="1" applyFill="1" applyBorder="1" applyAlignment="1" applyProtection="1">
      <alignment horizontal="center" wrapText="1"/>
    </xf>
    <xf numFmtId="0" fontId="10" fillId="2" borderId="6" xfId="0" applyFont="1" applyFill="1" applyBorder="1" applyAlignment="1" applyProtection="1">
      <alignment horizontal="center" wrapText="1"/>
    </xf>
    <xf numFmtId="0" fontId="3" fillId="2" borderId="2" xfId="0" quotePrefix="1" applyFont="1" applyFill="1" applyBorder="1" applyAlignment="1" applyProtection="1">
      <alignment horizontal="center" wrapText="1"/>
    </xf>
    <xf numFmtId="0" fontId="3" fillId="2" borderId="0" xfId="0" quotePrefix="1" applyFont="1" applyFill="1" applyBorder="1" applyAlignment="1" applyProtection="1">
      <alignment horizontal="center" wrapText="1"/>
    </xf>
    <xf numFmtId="0" fontId="3" fillId="2" borderId="5" xfId="0" quotePrefix="1" applyFont="1" applyFill="1" applyBorder="1" applyAlignment="1" applyProtection="1">
      <alignment horizontal="center" wrapText="1"/>
    </xf>
    <xf numFmtId="0" fontId="2" fillId="2" borderId="13" xfId="0" applyFont="1" applyFill="1" applyBorder="1" applyAlignment="1" applyProtection="1">
      <alignment horizontal="center" vertical="center" textRotation="90" wrapText="1"/>
    </xf>
    <xf numFmtId="0" fontId="2" fillId="2" borderId="15" xfId="0" applyFont="1" applyFill="1" applyBorder="1" applyAlignment="1" applyProtection="1">
      <alignment horizontal="center" vertical="center" textRotation="90" wrapText="1"/>
    </xf>
    <xf numFmtId="0" fontId="2" fillId="2" borderId="14" xfId="0" applyFont="1" applyFill="1" applyBorder="1" applyAlignment="1" applyProtection="1">
      <alignment horizontal="center" vertical="center" textRotation="90" wrapText="1"/>
    </xf>
    <xf numFmtId="0" fontId="10" fillId="0" borderId="0" xfId="0" applyFont="1" applyAlignment="1" applyProtection="1">
      <alignment horizontal="left" vertical="center" wrapText="1"/>
    </xf>
    <xf numFmtId="0" fontId="22" fillId="2" borderId="7" xfId="0" applyFont="1" applyFill="1" applyBorder="1" applyAlignment="1" applyProtection="1">
      <alignment horizontal="center"/>
    </xf>
    <xf numFmtId="0" fontId="22" fillId="2" borderId="9" xfId="0" applyFont="1" applyFill="1" applyBorder="1" applyAlignment="1" applyProtection="1">
      <alignment horizontal="center"/>
    </xf>
    <xf numFmtId="0" fontId="10" fillId="2" borderId="7" xfId="0" applyFont="1" applyFill="1" applyBorder="1" applyAlignment="1" applyProtection="1">
      <alignment horizontal="center"/>
    </xf>
    <xf numFmtId="0" fontId="10" fillId="2" borderId="9" xfId="0" applyFont="1" applyFill="1" applyBorder="1" applyAlignment="1" applyProtection="1">
      <alignment horizontal="center"/>
    </xf>
    <xf numFmtId="0" fontId="10" fillId="2" borderId="1" xfId="0" applyFont="1" applyFill="1" applyBorder="1" applyAlignment="1" applyProtection="1">
      <alignment horizontal="center"/>
    </xf>
    <xf numFmtId="0" fontId="10" fillId="2" borderId="3" xfId="0" applyFont="1" applyFill="1" applyBorder="1" applyAlignment="1" applyProtection="1">
      <alignment horizontal="center"/>
    </xf>
    <xf numFmtId="166" fontId="24" fillId="3" borderId="1" xfId="0" applyNumberFormat="1" applyFont="1" applyFill="1" applyBorder="1" applyAlignment="1" applyProtection="1">
      <alignment horizontal="center"/>
      <protection locked="0"/>
    </xf>
    <xf numFmtId="166" fontId="24" fillId="3" borderId="2" xfId="0" applyNumberFormat="1" applyFont="1" applyFill="1" applyBorder="1" applyAlignment="1" applyProtection="1">
      <alignment horizontal="center"/>
      <protection locked="0"/>
    </xf>
    <xf numFmtId="166" fontId="24" fillId="3" borderId="3" xfId="0" applyNumberFormat="1" applyFont="1" applyFill="1" applyBorder="1" applyAlignment="1" applyProtection="1">
      <alignment horizontal="center"/>
      <protection locked="0"/>
    </xf>
    <xf numFmtId="166" fontId="24" fillId="3" borderId="13" xfId="0" applyNumberFormat="1" applyFont="1" applyFill="1" applyBorder="1" applyAlignment="1" applyProtection="1">
      <alignment horizontal="center"/>
      <protection locked="0"/>
    </xf>
    <xf numFmtId="166" fontId="24" fillId="3" borderId="15" xfId="0" applyNumberFormat="1" applyFont="1" applyFill="1" applyBorder="1" applyAlignment="1" applyProtection="1">
      <alignment horizontal="center"/>
      <protection locked="0"/>
    </xf>
  </cellXfs>
  <cellStyles count="7">
    <cellStyle name="Normal" xfId="0" builtinId="0"/>
    <cellStyle name="Normal 2" xfId="6" xr:uid="{00000000-0005-0000-0000-000001000000}"/>
    <cellStyle name="Normal 4" xfId="1" xr:uid="{00000000-0005-0000-0000-000002000000}"/>
    <cellStyle name="Normal 5" xfId="3" xr:uid="{00000000-0005-0000-0000-000003000000}"/>
    <cellStyle name="Normal 6" xfId="2" xr:uid="{00000000-0005-0000-0000-000004000000}"/>
    <cellStyle name="Normal 7" xfId="4" xr:uid="{00000000-0005-0000-0000-000005000000}"/>
    <cellStyle name="Normal 8" xfId="5" xr:uid="{00000000-0005-0000-0000-000006000000}"/>
  </cellStyles>
  <dxfs count="2">
    <dxf>
      <font>
        <b/>
        <i val="0"/>
        <color theme="0"/>
      </font>
      <fill>
        <patternFill>
          <bgColor rgb="FFFF0000"/>
        </patternFill>
      </fill>
    </dxf>
    <dxf>
      <font>
        <b/>
        <i val="0"/>
        <color theme="0"/>
      </font>
      <fill>
        <patternFill>
          <bgColor rgb="FFFF0000"/>
        </patternFill>
      </fill>
    </dxf>
  </dxfs>
  <tableStyles count="0" defaultTableStyle="TableStyleMedium2" defaultPivotStyle="PivotStyleLight16"/>
  <colors>
    <mruColors>
      <color rgb="FFFFFF00"/>
      <color rgb="FFCCFFFF"/>
      <color rgb="FFFFFFCC"/>
      <color rgb="FF0000FF"/>
      <color rgb="FFCCFFCC"/>
      <color rgb="FFFFFF99"/>
      <color rgb="FFF9B499"/>
      <color rgb="FFE8FFCD"/>
      <color rgb="FFCCFF99"/>
      <color rgb="FFC8FF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externalLink" Target="externalLinks/externalLink1.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oneCellAnchor>
    <xdr:from>
      <xdr:col>0</xdr:col>
      <xdr:colOff>28575</xdr:colOff>
      <xdr:row>2</xdr:row>
      <xdr:rowOff>38100</xdr:rowOff>
    </xdr:from>
    <xdr:ext cx="6120130" cy="588010"/>
    <xdr:pic>
      <xdr:nvPicPr>
        <xdr:cNvPr id="2" name="Picture 1" descr="ACDSheading">
          <a:extLst>
            <a:ext uri="{FF2B5EF4-FFF2-40B4-BE49-F238E27FC236}">
              <a16:creationId xmlns:a16="http://schemas.microsoft.com/office/drawing/2014/main" id="{00000000-0008-0000-00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575" y="419100"/>
          <a:ext cx="6120130" cy="588010"/>
        </a:xfrm>
        <a:prstGeom prst="rect">
          <a:avLst/>
        </a:prstGeom>
        <a:noFill/>
        <a:ln>
          <a:noFill/>
        </a:ln>
      </xdr:spPr>
    </xdr:pic>
    <xdr:clientData/>
  </xdr:oneCellAnchor>
  <xdr:oneCellAnchor>
    <xdr:from>
      <xdr:col>0</xdr:col>
      <xdr:colOff>47625</xdr:colOff>
      <xdr:row>0</xdr:row>
      <xdr:rowOff>9525</xdr:rowOff>
    </xdr:from>
    <xdr:ext cx="6120130" cy="731520"/>
    <xdr:pic>
      <xdr:nvPicPr>
        <xdr:cNvPr id="3" name="Picture 2">
          <a:extLst>
            <a:ext uri="{FF2B5EF4-FFF2-40B4-BE49-F238E27FC236}">
              <a16:creationId xmlns:a16="http://schemas.microsoft.com/office/drawing/2014/main" id="{00000000-0008-0000-0000-000003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7625" y="9525"/>
          <a:ext cx="6120130" cy="731520"/>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xdr:twoCellAnchor editAs="oneCell">
    <xdr:from>
      <xdr:col>42</xdr:col>
      <xdr:colOff>263980</xdr:colOff>
      <xdr:row>87</xdr:row>
      <xdr:rowOff>55789</xdr:rowOff>
    </xdr:from>
    <xdr:to>
      <xdr:col>49</xdr:col>
      <xdr:colOff>411722</xdr:colOff>
      <xdr:row>112</xdr:row>
      <xdr:rowOff>147517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32839480" y="15445468"/>
          <a:ext cx="5576992" cy="4514049"/>
        </a:xfrm>
        <a:prstGeom prst="rect">
          <a:avLst/>
        </a:prstGeom>
        <a:ln>
          <a:solidFill>
            <a:schemeClr val="tx1"/>
          </a:solid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vic-fs02\home$\Medical_Rad\ACDS\ACDS%20Operations\Current%20Ops\178-16%20COBL-Camperdown\ACDS-LIII-3086%20COBL-Camperdown\3%20Data%20created%20by%20ACDS%20during%20audit\DRAFT%20ACDS-FORM-3004-v1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
      <sheetName val="Data"/>
      <sheetName val="Identification"/>
      <sheetName val="Dose work sheet"/>
      <sheetName val="IMRT"/>
      <sheetName val="Report"/>
      <sheetName val="Field trial quick comm"/>
      <sheetName val="Certificate"/>
    </sheetNames>
    <sheetDataSet>
      <sheetData sheetId="0" refreshError="1"/>
      <sheetData sheetId="1" refreshError="1">
        <row r="5">
          <cell r="B5">
            <v>2571</v>
          </cell>
          <cell r="C5">
            <v>30013</v>
          </cell>
          <cell r="D5" t="str">
            <v>FC65-G</v>
          </cell>
          <cell r="E5" t="str">
            <v>CC13</v>
          </cell>
        </row>
      </sheetData>
      <sheetData sheetId="2" refreshError="1"/>
      <sheetData sheetId="3" refreshError="1"/>
      <sheetData sheetId="4" refreshError="1"/>
      <sheetData sheetId="5" refreshError="1"/>
      <sheetData sheetId="6" refreshError="1"/>
      <sheetData sheetId="7" refreshError="1"/>
    </sheetDataSet>
  </externalBook>
</externalLink>
</file>

<file path=xl/persons/person.xml><?xml version="1.0" encoding="utf-8"?>
<personList xmlns="http://schemas.microsoft.com/office/spreadsheetml/2018/threadedcomments" xmlns:x="http://schemas.openxmlformats.org/spreadsheetml/2006/main">
  <person displayName="Kate Francis" id="{D18D6BA5-E8C5-43EE-A37B-4261669A09E1}" userId="S::kate.francis@arpansa.gov.au::ef726b6c-3459-4161-a17f-02f0ff2a9d04"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F4" dT="2021-12-16T05:21:29.08" personId="{D18D6BA5-E8C5-43EE-A37B-4261669A09E1}" id="{D2062BF3-8337-4FFB-AD54-1E9C747E5ED8}">
    <text>Calibration factor in terms of absorbed dose to water for a dosimeter at a reference beam
quality Q_o</text>
  </threadedComment>
  <threadedComment ref="G4" dT="2021-12-16T05:21:44.23" personId="{D18D6BA5-E8C5-43EE-A37B-4261669A09E1}" id="{202BB721-002F-4126-A09E-44F4FAB8CC58}">
    <text>Factor to correct the response of an ionization chamber for the lack of complete charge
collection (due to ion recombination</text>
  </threadedComment>
  <threadedComment ref="N4" dT="2021-12-16T05:21:55.18" personId="{D18D6BA5-E8C5-43EE-A37B-4261669A09E1}" id="{F0B06A92-3F92-405B-87A4-0F93DEBC6B11}">
    <text>Factor to correct the response of an ionization chamber for the effect of a change in polarity
of the polarizing voltage applied to the chamber</text>
  </threadedComment>
  <threadedComment ref="X5" dT="2021-12-16T05:53:26.10" personId="{D18D6BA5-E8C5-43EE-A37B-4261669A09E1}" id="{86336717-4BD1-48FB-9965-B4110341A883}">
    <text>Correction factor to account for magnetic field</text>
  </threadedComment>
  <threadedComment ref="A6" dT="2021-12-16T03:52:47.99" personId="{D18D6BA5-E8C5-43EE-A37B-4261669A09E1}" id="{162D0B05-7291-4F73-B583-C9FE2A857C35}">
    <text>Farmar Chamber</text>
  </threadedComment>
  <threadedComment ref="E6" dT="2021-12-16T04:30:41.48" personId="{D18D6BA5-E8C5-43EE-A37B-4261669A09E1}" id="{1AA1FE86-AD56-4243-9956-863507672514}">
    <text>Calibration certification number</text>
  </threadedComment>
  <threadedComment ref="A19" dT="2021-12-16T03:52:58.80" personId="{D18D6BA5-E8C5-43EE-A37B-4261669A09E1}" id="{E43B60E9-25B4-4317-A442-1515C92E6BBE}">
    <text>Compact Chamber</text>
  </threadedComment>
  <threadedComment ref="F36" dT="2021-12-16T05:22:13.20" personId="{D18D6BA5-E8C5-43EE-A37B-4261669A09E1}" id="{5E343F8C-2F30-45AB-B38B-195792FED137}">
    <text>Calibration factor in terms of water of absorbed dose for a dosimeter cross calibrated with another chamber</text>
  </threadedComment>
  <threadedComment ref="A38" dT="2021-12-16T03:53:07.38" personId="{D18D6BA5-E8C5-43EE-A37B-4261669A09E1}" id="{6E8D8C37-065E-4000-9F39-6548D86258B7}">
    <text>Roos Chamber</text>
  </threadedComment>
  <threadedComment ref="A47" dT="2022-01-25T00:11:12.52" personId="{D18D6BA5-E8C5-43EE-A37B-4261669A09E1}" id="{96928C27-55B6-48F0-A91E-B5067BCAF771}">
    <text>Single channel electrometer</text>
  </threadedComment>
  <threadedComment ref="A55" dT="2022-01-25T00:38:59.09" personId="{D18D6BA5-E8C5-43EE-A37B-4261669A09E1}" id="{8AEF9230-63E8-4275-AD7E-76C4907BB7AA}">
    <text>dual channel electrometer</text>
  </threadedComment>
  <threadedComment ref="A64" dT="2021-12-16T03:52:28.94" personId="{D18D6BA5-E8C5-43EE-A37B-4261669A09E1}" id="{84346471-C93E-4CC7-A9D1-24FA07187892}">
    <text>Multi-channel electrometer</text>
  </threadedComment>
  <threadedComment ref="A74" dT="2021-12-16T03:54:02.03" personId="{D18D6BA5-E8C5-43EE-A37B-4261669A09E1}" id="{ECE7D100-25DB-4759-9331-EAABB3C285AF}">
    <text>Microdiamond Detector</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W684"/>
  <sheetViews>
    <sheetView topLeftCell="A17" workbookViewId="0">
      <selection activeCell="I49" sqref="I49"/>
    </sheetView>
  </sheetViews>
  <sheetFormatPr defaultColWidth="9.140625" defaultRowHeight="15.75" x14ac:dyDescent="0.25"/>
  <cols>
    <col min="1" max="2" width="9.140625" style="3"/>
    <col min="3" max="3" width="12.140625" style="5" bestFit="1" customWidth="1"/>
    <col min="4" max="4" width="10.7109375" style="3" bestFit="1" customWidth="1"/>
    <col min="5" max="5" width="9.140625" style="4"/>
    <col min="6" max="17" width="9.140625" style="3"/>
    <col min="18" max="23" width="8.85546875" customWidth="1"/>
    <col min="24" max="16384" width="9.140625" style="2"/>
  </cols>
  <sheetData>
    <row r="1" spans="1:23" s="22" customFormat="1" ht="30" customHeight="1" x14ac:dyDescent="0.25">
      <c r="A1" s="34"/>
      <c r="B1" s="34"/>
      <c r="C1" s="34"/>
      <c r="D1" s="34"/>
      <c r="E1" s="34"/>
      <c r="F1" s="34"/>
      <c r="G1" s="34"/>
      <c r="H1" s="34"/>
      <c r="I1" s="34"/>
      <c r="J1" s="34"/>
      <c r="K1" s="503" t="s">
        <v>383</v>
      </c>
      <c r="L1" s="504"/>
      <c r="M1" s="504"/>
      <c r="N1" s="504"/>
      <c r="O1" s="504"/>
      <c r="P1" s="504"/>
      <c r="Q1" s="505"/>
      <c r="R1" s="34"/>
      <c r="S1" s="34"/>
      <c r="T1"/>
      <c r="U1"/>
      <c r="V1"/>
      <c r="W1"/>
    </row>
    <row r="2" spans="1:23" s="22" customFormat="1" ht="17.25" customHeight="1" x14ac:dyDescent="0.25">
      <c r="A2" s="34"/>
      <c r="B2" s="34"/>
      <c r="C2" s="34"/>
      <c r="D2" s="34"/>
      <c r="E2" s="34"/>
      <c r="F2" s="34"/>
      <c r="G2" s="34"/>
      <c r="H2" s="34"/>
      <c r="I2" s="34"/>
      <c r="J2" s="34"/>
      <c r="K2" s="506" t="s">
        <v>53</v>
      </c>
      <c r="L2" s="507"/>
      <c r="M2" s="507" t="s">
        <v>350</v>
      </c>
      <c r="N2" s="507"/>
      <c r="O2" s="507"/>
      <c r="P2" s="507"/>
      <c r="Q2" s="508"/>
      <c r="R2" s="34"/>
      <c r="S2" s="34"/>
      <c r="T2"/>
      <c r="U2"/>
      <c r="V2"/>
      <c r="W2"/>
    </row>
    <row r="3" spans="1:23" s="28" customFormat="1" ht="17.25" customHeight="1" x14ac:dyDescent="0.25">
      <c r="A3" s="34"/>
      <c r="B3" s="34"/>
      <c r="C3" s="34"/>
      <c r="D3" s="34"/>
      <c r="E3" s="34"/>
      <c r="F3" s="34"/>
      <c r="G3" s="34"/>
      <c r="H3" s="34"/>
      <c r="I3" s="34"/>
      <c r="J3" s="34"/>
      <c r="K3" s="506" t="s">
        <v>52</v>
      </c>
      <c r="L3" s="507"/>
      <c r="M3" s="507" t="s">
        <v>350</v>
      </c>
      <c r="N3" s="507"/>
      <c r="O3" s="507"/>
      <c r="P3" s="507"/>
      <c r="Q3" s="508"/>
      <c r="R3" s="34"/>
      <c r="S3" s="34"/>
      <c r="T3"/>
      <c r="U3"/>
      <c r="V3"/>
      <c r="W3"/>
    </row>
    <row r="4" spans="1:23" s="28" customFormat="1" ht="17.25" customHeight="1" x14ac:dyDescent="0.25">
      <c r="A4" s="34"/>
      <c r="B4" s="34"/>
      <c r="C4" s="34"/>
      <c r="D4" s="34"/>
      <c r="E4" s="34"/>
      <c r="F4" s="34"/>
      <c r="G4" s="34"/>
      <c r="H4" s="34"/>
      <c r="I4" s="34"/>
      <c r="J4" s="34"/>
      <c r="K4" s="506" t="s">
        <v>51</v>
      </c>
      <c r="L4" s="507"/>
      <c r="M4" s="507" t="s">
        <v>351</v>
      </c>
      <c r="N4" s="507"/>
      <c r="O4" s="507"/>
      <c r="P4" s="507"/>
      <c r="Q4" s="508"/>
      <c r="R4" s="34"/>
      <c r="S4" s="34"/>
      <c r="T4"/>
      <c r="U4"/>
      <c r="V4"/>
      <c r="W4"/>
    </row>
    <row r="5" spans="1:23" s="28" customFormat="1" ht="17.25" customHeight="1" thickBot="1" x14ac:dyDescent="0.3">
      <c r="A5" s="34"/>
      <c r="B5" s="34"/>
      <c r="C5" s="34"/>
      <c r="D5" s="34"/>
      <c r="E5" s="34"/>
      <c r="F5" s="34"/>
      <c r="G5" s="34"/>
      <c r="H5" s="34"/>
      <c r="I5" s="34"/>
      <c r="J5" s="34"/>
      <c r="K5" s="498" t="s">
        <v>50</v>
      </c>
      <c r="L5" s="499"/>
      <c r="M5" s="500">
        <v>44278</v>
      </c>
      <c r="N5" s="501"/>
      <c r="O5" s="501"/>
      <c r="P5" s="501"/>
      <c r="Q5" s="502"/>
      <c r="R5" s="34"/>
      <c r="S5" s="34"/>
      <c r="T5"/>
      <c r="U5"/>
      <c r="V5"/>
      <c r="W5"/>
    </row>
    <row r="6" spans="1:23" s="28" customFormat="1" ht="15" x14ac:dyDescent="0.25">
      <c r="A6" s="15"/>
      <c r="B6" s="15" t="s">
        <v>49</v>
      </c>
      <c r="C6" s="18"/>
      <c r="D6" s="15" t="s">
        <v>48</v>
      </c>
      <c r="E6" s="16"/>
      <c r="F6" s="15"/>
      <c r="G6" s="15"/>
      <c r="H6" s="15"/>
      <c r="I6" s="15"/>
      <c r="J6" s="15"/>
      <c r="K6" s="15"/>
      <c r="L6" s="15"/>
      <c r="M6" s="15"/>
      <c r="N6" s="15"/>
      <c r="O6" s="15"/>
      <c r="P6" s="15"/>
      <c r="Q6" s="15"/>
      <c r="R6"/>
      <c r="S6"/>
      <c r="T6"/>
      <c r="U6"/>
      <c r="V6"/>
      <c r="W6"/>
    </row>
    <row r="7" spans="1:23" s="28" customFormat="1" ht="15" x14ac:dyDescent="0.25">
      <c r="A7" s="15"/>
      <c r="B7" s="15" t="s">
        <v>47</v>
      </c>
      <c r="C7" s="18"/>
      <c r="D7" s="15" t="s">
        <v>55</v>
      </c>
      <c r="E7" s="16"/>
      <c r="F7" s="15"/>
      <c r="G7" s="15"/>
      <c r="H7" s="15"/>
      <c r="I7" s="15"/>
      <c r="J7" s="15"/>
      <c r="K7" s="15"/>
      <c r="L7" s="15"/>
      <c r="M7" s="15"/>
      <c r="N7" s="15"/>
      <c r="O7" s="15"/>
      <c r="P7" s="15"/>
      <c r="Q7" s="15"/>
      <c r="R7"/>
      <c r="S7"/>
      <c r="T7"/>
      <c r="U7"/>
      <c r="V7"/>
      <c r="W7"/>
    </row>
    <row r="8" spans="1:23" s="28" customFormat="1" ht="15" x14ac:dyDescent="0.25">
      <c r="A8" s="15"/>
      <c r="B8" s="15" t="s">
        <v>46</v>
      </c>
      <c r="C8" s="18"/>
      <c r="D8" s="38">
        <f>MAX(C19:C1001)</f>
        <v>44431</v>
      </c>
      <c r="E8" s="16"/>
      <c r="F8" s="15"/>
      <c r="G8" s="15"/>
      <c r="H8" s="15"/>
      <c r="I8" s="15"/>
      <c r="J8" s="15"/>
      <c r="K8" s="15"/>
      <c r="L8" s="15"/>
      <c r="M8" s="15"/>
      <c r="N8" s="15"/>
      <c r="O8" s="15"/>
      <c r="P8" s="15"/>
      <c r="Q8" s="15"/>
      <c r="R8"/>
      <c r="S8"/>
      <c r="T8"/>
      <c r="U8"/>
      <c r="V8"/>
      <c r="W8"/>
    </row>
    <row r="9" spans="1:23" s="28" customFormat="1" ht="15" x14ac:dyDescent="0.25">
      <c r="A9" s="15"/>
      <c r="B9" s="15"/>
      <c r="C9" s="18"/>
      <c r="D9" s="15"/>
      <c r="E9" s="16"/>
      <c r="F9" s="15"/>
      <c r="G9" s="15"/>
      <c r="H9" s="15"/>
      <c r="I9" s="15"/>
      <c r="J9" s="15"/>
      <c r="K9" s="15"/>
      <c r="L9" s="15"/>
      <c r="M9" s="15"/>
      <c r="N9" s="15"/>
      <c r="O9" s="15"/>
      <c r="P9" s="15"/>
      <c r="Q9" s="15"/>
      <c r="R9"/>
      <c r="S9"/>
      <c r="T9"/>
      <c r="U9"/>
      <c r="V9"/>
      <c r="W9"/>
    </row>
    <row r="10" spans="1:23" s="28" customFormat="1" ht="15" x14ac:dyDescent="0.25">
      <c r="A10" s="15"/>
      <c r="B10" s="20"/>
      <c r="C10" s="18"/>
      <c r="D10" s="15"/>
      <c r="E10" s="16"/>
      <c r="F10" s="15"/>
      <c r="G10" s="15"/>
      <c r="H10" s="15"/>
      <c r="I10" s="15"/>
      <c r="J10" s="15"/>
      <c r="K10" s="15"/>
      <c r="L10" s="15"/>
      <c r="M10" s="15"/>
      <c r="N10" s="15"/>
      <c r="O10" s="15"/>
      <c r="P10" s="15"/>
      <c r="Q10" s="15"/>
      <c r="R10"/>
      <c r="S10"/>
      <c r="T10"/>
      <c r="U10"/>
      <c r="V10"/>
      <c r="W10"/>
    </row>
    <row r="11" spans="1:23" s="28" customFormat="1" ht="15" x14ac:dyDescent="0.25">
      <c r="A11" s="15"/>
      <c r="B11" s="15" t="s">
        <v>45</v>
      </c>
      <c r="C11" s="18"/>
      <c r="D11" s="15"/>
      <c r="E11" s="16"/>
      <c r="F11" s="15"/>
      <c r="G11" s="15"/>
      <c r="H11" s="15"/>
      <c r="I11" s="15"/>
      <c r="J11" s="15"/>
      <c r="K11" s="15"/>
      <c r="L11" s="15"/>
      <c r="M11" s="15"/>
      <c r="N11" s="15"/>
      <c r="O11" s="15"/>
      <c r="P11" s="15"/>
      <c r="Q11" s="15"/>
      <c r="R11"/>
      <c r="S11"/>
      <c r="T11"/>
      <c r="U11"/>
      <c r="V11"/>
      <c r="W11"/>
    </row>
    <row r="12" spans="1:23" s="28" customFormat="1" ht="15" x14ac:dyDescent="0.25">
      <c r="A12" s="15"/>
      <c r="B12" s="15" t="s">
        <v>44</v>
      </c>
      <c r="C12" s="18"/>
      <c r="D12" s="15"/>
      <c r="E12" s="16"/>
      <c r="F12" s="15"/>
      <c r="G12" s="15"/>
      <c r="H12" s="15"/>
      <c r="I12" s="15"/>
      <c r="J12" s="15"/>
      <c r="K12" s="15"/>
      <c r="L12" s="15"/>
      <c r="M12" s="15"/>
      <c r="N12" s="15"/>
      <c r="O12" s="15"/>
      <c r="P12" s="15"/>
      <c r="Q12" s="15"/>
      <c r="R12"/>
      <c r="S12"/>
      <c r="T12"/>
      <c r="U12"/>
      <c r="V12"/>
      <c r="W12"/>
    </row>
    <row r="13" spans="1:23" s="28" customFormat="1" ht="15" x14ac:dyDescent="0.25">
      <c r="A13" s="15"/>
      <c r="B13" s="15" t="s">
        <v>43</v>
      </c>
      <c r="C13" s="18"/>
      <c r="D13" s="15"/>
      <c r="E13" s="16"/>
      <c r="F13" s="15"/>
      <c r="G13" s="15"/>
      <c r="H13" s="15"/>
      <c r="I13" s="15"/>
      <c r="J13" s="15"/>
      <c r="K13" s="15"/>
      <c r="L13" s="15"/>
      <c r="M13" s="15"/>
      <c r="N13" s="15"/>
      <c r="O13" s="15"/>
      <c r="P13" s="15"/>
      <c r="Q13" s="15"/>
      <c r="R13"/>
      <c r="S13"/>
      <c r="T13"/>
      <c r="U13"/>
      <c r="V13"/>
      <c r="W13"/>
    </row>
    <row r="14" spans="1:23" s="28" customFormat="1" ht="15" x14ac:dyDescent="0.25">
      <c r="A14" s="15"/>
      <c r="B14" s="15" t="s">
        <v>42</v>
      </c>
      <c r="C14" s="18"/>
      <c r="D14" s="15"/>
      <c r="E14" s="16"/>
      <c r="F14" s="15"/>
      <c r="G14" s="15"/>
      <c r="H14" s="15"/>
      <c r="I14" s="15"/>
      <c r="J14" s="15"/>
      <c r="K14" s="15"/>
      <c r="L14" s="15"/>
      <c r="M14" s="15"/>
      <c r="N14" s="15"/>
      <c r="O14" s="15"/>
      <c r="P14" s="15"/>
      <c r="Q14" s="15"/>
      <c r="R14"/>
      <c r="S14"/>
      <c r="T14"/>
      <c r="U14"/>
      <c r="V14"/>
      <c r="W14"/>
    </row>
    <row r="15" spans="1:23" s="28" customFormat="1" ht="15" x14ac:dyDescent="0.25">
      <c r="A15" s="15"/>
      <c r="B15" s="15"/>
      <c r="C15" s="18"/>
      <c r="D15" s="15"/>
      <c r="E15" s="16"/>
      <c r="F15" s="15"/>
      <c r="G15" s="15"/>
      <c r="H15" s="15"/>
      <c r="I15" s="15"/>
      <c r="J15" s="15"/>
      <c r="K15" s="15"/>
      <c r="L15" s="15"/>
      <c r="M15" s="15"/>
      <c r="N15" s="15"/>
      <c r="O15" s="15"/>
      <c r="P15" s="15"/>
      <c r="Q15" s="15"/>
      <c r="R15"/>
      <c r="S15"/>
      <c r="T15"/>
      <c r="U15"/>
      <c r="V15"/>
      <c r="W15"/>
    </row>
    <row r="16" spans="1:23" s="28" customFormat="1" ht="15" x14ac:dyDescent="0.25">
      <c r="A16" s="15"/>
      <c r="B16" s="15"/>
      <c r="C16" s="18"/>
      <c r="D16" s="15"/>
      <c r="E16" s="16"/>
      <c r="F16" s="15"/>
      <c r="G16" s="15"/>
      <c r="H16" s="15"/>
      <c r="I16" s="15"/>
      <c r="J16" s="15"/>
      <c r="K16" s="15"/>
      <c r="L16" s="15"/>
      <c r="M16" s="15"/>
      <c r="N16" s="15"/>
      <c r="O16" s="15"/>
      <c r="P16" s="15"/>
      <c r="Q16" s="15"/>
      <c r="R16"/>
      <c r="S16"/>
      <c r="T16"/>
      <c r="U16"/>
      <c r="V16"/>
      <c r="W16"/>
    </row>
    <row r="17" spans="1:23" s="28" customFormat="1" ht="15" x14ac:dyDescent="0.25">
      <c r="A17" s="15"/>
      <c r="B17" s="20" t="s">
        <v>41</v>
      </c>
      <c r="C17" s="18"/>
      <c r="D17" s="15"/>
      <c r="E17" s="16"/>
      <c r="F17" s="15"/>
      <c r="G17" s="15"/>
      <c r="H17" s="15"/>
      <c r="I17" s="15"/>
      <c r="J17" s="15"/>
      <c r="K17" s="15"/>
      <c r="L17" s="15"/>
      <c r="M17" s="15"/>
      <c r="N17" s="15"/>
      <c r="O17" s="15"/>
      <c r="P17" s="15"/>
      <c r="Q17" s="15"/>
      <c r="R17"/>
      <c r="S17"/>
      <c r="T17"/>
      <c r="U17"/>
      <c r="V17"/>
      <c r="W17"/>
    </row>
    <row r="18" spans="1:23" s="28" customFormat="1" ht="15" x14ac:dyDescent="0.25">
      <c r="A18" s="15"/>
      <c r="B18" s="15"/>
      <c r="C18" s="33" t="s">
        <v>40</v>
      </c>
      <c r="D18" s="32" t="s">
        <v>39</v>
      </c>
      <c r="E18" s="31" t="s">
        <v>38</v>
      </c>
      <c r="F18" s="30"/>
      <c r="G18" s="30" t="s">
        <v>37</v>
      </c>
      <c r="H18" s="30"/>
      <c r="I18" s="30"/>
      <c r="J18" s="30"/>
      <c r="K18" s="30"/>
      <c r="L18" s="30"/>
      <c r="M18" s="30"/>
      <c r="N18" s="30"/>
      <c r="O18" s="29"/>
      <c r="P18" s="15"/>
      <c r="Q18" s="15"/>
      <c r="R18"/>
      <c r="S18"/>
      <c r="T18"/>
      <c r="U18"/>
      <c r="V18"/>
      <c r="W18"/>
    </row>
    <row r="19" spans="1:23" s="28" customFormat="1" ht="15" x14ac:dyDescent="0.25">
      <c r="A19" s="15"/>
      <c r="B19" s="15"/>
      <c r="C19" s="18">
        <v>43348</v>
      </c>
      <c r="D19" s="17" t="s">
        <v>54</v>
      </c>
      <c r="E19" s="17">
        <v>1</v>
      </c>
      <c r="F19" s="15" t="s">
        <v>56</v>
      </c>
      <c r="G19" s="15"/>
      <c r="H19" s="15"/>
      <c r="I19" s="15"/>
      <c r="J19" s="15"/>
      <c r="K19" s="15"/>
      <c r="L19" s="15"/>
      <c r="M19" s="15"/>
      <c r="N19" s="15"/>
      <c r="O19" s="15"/>
      <c r="P19" s="15"/>
      <c r="Q19" s="15"/>
      <c r="R19"/>
      <c r="S19"/>
      <c r="T19"/>
      <c r="U19"/>
      <c r="V19"/>
      <c r="W19"/>
    </row>
    <row r="20" spans="1:23" s="28" customFormat="1" ht="15" x14ac:dyDescent="0.25">
      <c r="A20" s="15"/>
      <c r="B20" s="15"/>
      <c r="C20" s="18">
        <v>43403</v>
      </c>
      <c r="D20" s="17" t="s">
        <v>54</v>
      </c>
      <c r="E20" s="17">
        <v>1</v>
      </c>
      <c r="F20" s="15" t="s">
        <v>57</v>
      </c>
      <c r="G20" s="15"/>
      <c r="H20" s="15"/>
      <c r="I20" s="15"/>
      <c r="J20" s="15"/>
      <c r="K20" s="15"/>
      <c r="L20" s="15"/>
      <c r="M20" s="15"/>
      <c r="N20" s="15"/>
      <c r="O20" s="15"/>
      <c r="P20" s="15"/>
      <c r="Q20" s="15"/>
      <c r="R20"/>
      <c r="S20"/>
      <c r="T20"/>
      <c r="U20"/>
      <c r="V20"/>
      <c r="W20"/>
    </row>
    <row r="21" spans="1:23" s="28" customFormat="1" ht="15" x14ac:dyDescent="0.25">
      <c r="A21" s="15"/>
      <c r="B21" s="15"/>
      <c r="C21" s="18">
        <v>43446</v>
      </c>
      <c r="D21" s="17" t="s">
        <v>54</v>
      </c>
      <c r="E21" s="17">
        <v>1</v>
      </c>
      <c r="F21" s="15" t="s">
        <v>61</v>
      </c>
      <c r="G21" s="15"/>
      <c r="H21" s="15"/>
      <c r="I21" s="15"/>
      <c r="J21" s="15"/>
      <c r="K21" s="15"/>
      <c r="L21" s="15"/>
      <c r="M21" s="15"/>
      <c r="N21" s="15"/>
      <c r="O21" s="15"/>
      <c r="P21" s="15"/>
      <c r="Q21" s="15"/>
      <c r="R21"/>
      <c r="S21"/>
      <c r="T21"/>
      <c r="U21"/>
      <c r="V21"/>
      <c r="W21"/>
    </row>
    <row r="22" spans="1:23" s="28" customFormat="1" ht="15" x14ac:dyDescent="0.25">
      <c r="A22" s="15"/>
      <c r="B22" s="15"/>
      <c r="C22" s="26">
        <v>43570</v>
      </c>
      <c r="D22" s="25" t="s">
        <v>269</v>
      </c>
      <c r="E22" s="25">
        <v>2</v>
      </c>
      <c r="F22" s="24" t="s">
        <v>270</v>
      </c>
      <c r="G22" s="24"/>
      <c r="H22" s="24"/>
      <c r="I22" s="24"/>
      <c r="J22" s="24"/>
      <c r="K22" s="24"/>
      <c r="L22" s="24"/>
      <c r="M22" s="24"/>
      <c r="N22" s="24"/>
      <c r="O22" s="24"/>
      <c r="P22" s="24"/>
      <c r="Q22" s="15"/>
      <c r="R22"/>
      <c r="S22"/>
      <c r="T22"/>
      <c r="U22"/>
      <c r="V22"/>
      <c r="W22"/>
    </row>
    <row r="23" spans="1:23" s="28" customFormat="1" ht="15" x14ac:dyDescent="0.25">
      <c r="A23" s="15"/>
      <c r="B23" s="15"/>
      <c r="C23" s="26">
        <v>43978</v>
      </c>
      <c r="D23" s="497" t="s">
        <v>339</v>
      </c>
      <c r="E23" s="25">
        <v>3</v>
      </c>
      <c r="F23" s="15" t="s">
        <v>324</v>
      </c>
      <c r="G23" s="24"/>
      <c r="H23" s="24"/>
      <c r="I23" s="24"/>
      <c r="J23" s="24"/>
      <c r="K23" s="24"/>
      <c r="L23" s="24"/>
      <c r="M23" s="24"/>
      <c r="N23" s="24"/>
      <c r="O23" s="24"/>
      <c r="P23" s="24"/>
      <c r="Q23" s="15"/>
      <c r="R23"/>
      <c r="S23"/>
      <c r="T23"/>
      <c r="U23"/>
      <c r="V23"/>
      <c r="W23"/>
    </row>
    <row r="24" spans="1:23" s="28" customFormat="1" ht="15" x14ac:dyDescent="0.25">
      <c r="A24" s="15"/>
      <c r="B24" s="15"/>
      <c r="C24" s="26"/>
      <c r="D24" s="497"/>
      <c r="E24" s="25"/>
      <c r="F24" s="177" t="s">
        <v>326</v>
      </c>
      <c r="G24" s="24"/>
      <c r="H24" s="24"/>
      <c r="I24" s="24"/>
      <c r="J24" s="24"/>
      <c r="K24" s="24"/>
      <c r="L24" s="24"/>
      <c r="M24" s="24"/>
      <c r="N24" s="24"/>
      <c r="O24" s="24"/>
      <c r="P24" s="24"/>
      <c r="Q24" s="15"/>
      <c r="R24"/>
      <c r="S24"/>
      <c r="T24"/>
      <c r="U24"/>
      <c r="V24"/>
      <c r="W24"/>
    </row>
    <row r="25" spans="1:23" s="27" customFormat="1" ht="15" x14ac:dyDescent="0.25">
      <c r="A25" s="15"/>
      <c r="B25" s="15"/>
      <c r="C25" s="26"/>
      <c r="D25" s="25"/>
      <c r="E25" s="25"/>
      <c r="F25" s="177" t="s">
        <v>332</v>
      </c>
      <c r="G25" s="24"/>
      <c r="H25" s="24"/>
      <c r="I25" s="24"/>
      <c r="J25" s="24"/>
      <c r="K25" s="24"/>
      <c r="L25" s="24"/>
      <c r="M25" s="24"/>
      <c r="N25" s="24"/>
      <c r="O25" s="24"/>
      <c r="P25" s="24"/>
      <c r="Q25" s="20"/>
      <c r="R25"/>
      <c r="S25"/>
      <c r="T25"/>
      <c r="U25"/>
      <c r="V25"/>
      <c r="W25"/>
    </row>
    <row r="26" spans="1:23" s="22" customFormat="1" x14ac:dyDescent="0.25">
      <c r="A26" s="15"/>
      <c r="B26" s="15"/>
      <c r="C26" s="26"/>
      <c r="D26" s="497"/>
      <c r="E26" s="25"/>
      <c r="F26" s="177" t="s">
        <v>342</v>
      </c>
      <c r="G26" s="24"/>
      <c r="H26" s="24"/>
      <c r="I26" s="24"/>
      <c r="J26" s="24"/>
      <c r="K26" s="24"/>
      <c r="L26" s="24"/>
      <c r="M26" s="24"/>
      <c r="N26" s="24"/>
      <c r="O26" s="24"/>
      <c r="P26" s="24"/>
      <c r="Q26" s="15"/>
      <c r="R26"/>
      <c r="S26"/>
      <c r="T26"/>
      <c r="U26"/>
      <c r="V26"/>
      <c r="W26"/>
    </row>
    <row r="27" spans="1:23" s="22" customFormat="1" x14ac:dyDescent="0.25">
      <c r="A27" s="15"/>
      <c r="B27" s="15"/>
      <c r="C27" s="26"/>
      <c r="D27" s="497"/>
      <c r="E27" s="25"/>
      <c r="F27" s="177" t="s">
        <v>341</v>
      </c>
      <c r="G27" s="24"/>
      <c r="H27" s="24"/>
      <c r="I27" s="24"/>
      <c r="J27" s="24"/>
      <c r="K27" s="24"/>
      <c r="L27" s="24"/>
      <c r="M27" s="24"/>
      <c r="N27" s="24"/>
      <c r="O27" s="24"/>
      <c r="P27" s="24"/>
      <c r="Q27" s="15"/>
      <c r="R27"/>
      <c r="S27"/>
      <c r="T27"/>
      <c r="U27"/>
      <c r="V27"/>
      <c r="W27"/>
    </row>
    <row r="28" spans="1:23" s="23" customFormat="1" x14ac:dyDescent="0.25">
      <c r="A28" s="15"/>
      <c r="B28" s="15"/>
      <c r="C28" s="18"/>
      <c r="D28" s="17"/>
      <c r="E28" s="17"/>
      <c r="F28" s="15" t="s">
        <v>340</v>
      </c>
      <c r="G28" s="15"/>
      <c r="H28" s="15"/>
      <c r="I28" s="15"/>
      <c r="J28" s="15"/>
      <c r="K28" s="15"/>
      <c r="L28" s="15"/>
      <c r="M28" s="15"/>
      <c r="N28" s="15"/>
      <c r="O28" s="15"/>
      <c r="P28" s="15"/>
      <c r="Q28" s="20"/>
      <c r="R28"/>
      <c r="S28"/>
      <c r="T28"/>
      <c r="U28"/>
      <c r="V28"/>
      <c r="W28"/>
    </row>
    <row r="29" spans="1:23" s="22" customFormat="1" x14ac:dyDescent="0.25">
      <c r="A29" s="15"/>
      <c r="B29" s="15"/>
      <c r="C29" s="18"/>
      <c r="D29" s="17"/>
      <c r="E29" s="17"/>
      <c r="F29" s="15" t="s">
        <v>343</v>
      </c>
      <c r="G29" s="15"/>
      <c r="H29" s="15"/>
      <c r="I29" s="15"/>
      <c r="J29" s="15"/>
      <c r="K29" s="15"/>
      <c r="L29" s="15"/>
      <c r="M29" s="15"/>
      <c r="N29" s="15"/>
      <c r="O29" s="15"/>
      <c r="P29" s="15"/>
      <c r="Q29" s="15"/>
      <c r="R29"/>
      <c r="S29"/>
      <c r="T29"/>
      <c r="U29"/>
      <c r="V29"/>
      <c r="W29"/>
    </row>
    <row r="30" spans="1:23" s="22" customFormat="1" x14ac:dyDescent="0.25">
      <c r="A30" s="15"/>
      <c r="B30" s="15"/>
      <c r="C30" s="18"/>
      <c r="D30" s="17"/>
      <c r="E30" s="17"/>
      <c r="F30" s="15" t="s">
        <v>344</v>
      </c>
      <c r="G30" s="15"/>
      <c r="H30" s="15"/>
      <c r="I30" s="15"/>
      <c r="J30" s="15"/>
      <c r="K30" s="15"/>
      <c r="L30" s="15"/>
      <c r="M30" s="15"/>
      <c r="N30" s="15"/>
      <c r="O30" s="15"/>
      <c r="P30" s="15"/>
      <c r="Q30" s="15"/>
      <c r="R30"/>
      <c r="S30"/>
      <c r="T30"/>
      <c r="U30"/>
      <c r="V30"/>
      <c r="W30"/>
    </row>
    <row r="31" spans="1:23" s="22" customFormat="1" x14ac:dyDescent="0.25">
      <c r="A31" s="15"/>
      <c r="B31" s="15"/>
      <c r="C31" s="18"/>
      <c r="D31" s="17"/>
      <c r="E31" s="17"/>
      <c r="F31" s="15" t="s">
        <v>345</v>
      </c>
      <c r="G31" s="19"/>
      <c r="H31" s="15"/>
      <c r="I31" s="15"/>
      <c r="J31" s="15"/>
      <c r="K31" s="15"/>
      <c r="L31" s="15"/>
      <c r="M31" s="15"/>
      <c r="N31" s="15"/>
      <c r="O31" s="15"/>
      <c r="P31" s="15"/>
      <c r="Q31" s="15"/>
      <c r="R31"/>
      <c r="S31"/>
      <c r="T31"/>
      <c r="U31"/>
      <c r="V31"/>
      <c r="W31"/>
    </row>
    <row r="32" spans="1:23" ht="15" x14ac:dyDescent="0.25">
      <c r="A32" s="15"/>
      <c r="B32" s="15"/>
      <c r="C32" s="18">
        <v>44069</v>
      </c>
      <c r="D32" s="17" t="s">
        <v>54</v>
      </c>
      <c r="E32" s="17">
        <v>3</v>
      </c>
      <c r="F32" s="6" t="s">
        <v>355</v>
      </c>
      <c r="G32" s="15"/>
      <c r="H32" s="15"/>
      <c r="I32" s="15"/>
      <c r="J32" s="15"/>
      <c r="K32" s="15"/>
      <c r="L32" s="15"/>
      <c r="M32" s="15"/>
      <c r="N32" s="15"/>
      <c r="O32" s="15"/>
      <c r="P32" s="15"/>
      <c r="Q32" s="15"/>
    </row>
    <row r="33" spans="1:23" ht="15" x14ac:dyDescent="0.25">
      <c r="A33" s="15"/>
      <c r="B33" s="15"/>
      <c r="C33" s="18">
        <v>44113</v>
      </c>
      <c r="D33" s="17" t="s">
        <v>54</v>
      </c>
      <c r="E33" s="17">
        <v>3</v>
      </c>
      <c r="F33" s="6" t="s">
        <v>356</v>
      </c>
      <c r="G33" s="15"/>
      <c r="H33" s="15"/>
      <c r="I33" s="15"/>
      <c r="J33" s="15"/>
      <c r="K33" s="15"/>
      <c r="L33" s="15"/>
      <c r="M33" s="15"/>
      <c r="N33" s="15"/>
      <c r="O33" s="15"/>
      <c r="P33" s="15"/>
      <c r="Q33" s="15"/>
    </row>
    <row r="34" spans="1:23" ht="15" x14ac:dyDescent="0.25">
      <c r="A34" s="15"/>
      <c r="B34" s="15"/>
      <c r="C34" s="18">
        <v>44136</v>
      </c>
      <c r="D34" s="17" t="s">
        <v>357</v>
      </c>
      <c r="E34" s="17">
        <v>3</v>
      </c>
      <c r="F34" s="6" t="s">
        <v>361</v>
      </c>
      <c r="G34" s="15"/>
      <c r="H34" s="15"/>
      <c r="I34" s="15"/>
      <c r="J34" s="15"/>
      <c r="K34" s="15"/>
      <c r="L34" s="15"/>
      <c r="M34" s="15"/>
      <c r="N34" s="15"/>
      <c r="O34" s="15"/>
      <c r="P34" s="15"/>
      <c r="Q34" s="15"/>
    </row>
    <row r="35" spans="1:23" ht="15" x14ac:dyDescent="0.25">
      <c r="A35" s="15"/>
      <c r="B35" s="15"/>
      <c r="C35" s="18">
        <v>44140</v>
      </c>
      <c r="D35" s="17" t="s">
        <v>362</v>
      </c>
      <c r="E35" s="17">
        <v>4</v>
      </c>
      <c r="F35" s="6" t="s">
        <v>363</v>
      </c>
      <c r="G35" s="15"/>
      <c r="H35" s="15"/>
      <c r="I35" s="15"/>
      <c r="J35" s="15"/>
      <c r="K35" s="15"/>
      <c r="L35" s="15"/>
      <c r="M35" s="15"/>
      <c r="N35" s="15"/>
      <c r="O35" s="15"/>
      <c r="P35" s="15"/>
      <c r="Q35" s="15"/>
    </row>
    <row r="36" spans="1:23" s="14" customFormat="1" ht="15" x14ac:dyDescent="0.25">
      <c r="A36" s="15"/>
      <c r="B36" s="15"/>
      <c r="C36" s="21"/>
      <c r="D36" s="17"/>
      <c r="E36" s="17"/>
      <c r="F36" s="15" t="s">
        <v>364</v>
      </c>
      <c r="G36" s="15"/>
      <c r="H36" s="15"/>
      <c r="I36" s="15"/>
      <c r="J36" s="15"/>
      <c r="K36" s="15"/>
      <c r="L36" s="15"/>
      <c r="M36" s="15"/>
      <c r="N36" s="15"/>
      <c r="O36" s="15"/>
      <c r="P36" s="15"/>
      <c r="Q36" s="20"/>
      <c r="R36"/>
      <c r="S36"/>
      <c r="T36"/>
      <c r="U36"/>
      <c r="V36"/>
      <c r="W36"/>
    </row>
    <row r="37" spans="1:23" ht="15" x14ac:dyDescent="0.25">
      <c r="A37" s="15"/>
      <c r="B37" s="15"/>
      <c r="C37" s="18">
        <v>44158</v>
      </c>
      <c r="D37" s="17" t="s">
        <v>376</v>
      </c>
      <c r="E37" s="17">
        <v>4</v>
      </c>
      <c r="F37" s="6" t="s">
        <v>377</v>
      </c>
      <c r="G37" s="15"/>
      <c r="H37" s="15"/>
      <c r="I37" s="15"/>
      <c r="J37" s="15"/>
      <c r="K37" s="15"/>
      <c r="L37" s="15"/>
      <c r="M37" s="15"/>
      <c r="N37" s="15"/>
      <c r="O37" s="15"/>
      <c r="P37" s="15"/>
      <c r="Q37" s="15"/>
    </row>
    <row r="38" spans="1:23" ht="15" x14ac:dyDescent="0.25">
      <c r="A38" s="15"/>
      <c r="B38" s="15"/>
      <c r="C38" s="18">
        <v>44264</v>
      </c>
      <c r="D38" s="17" t="s">
        <v>362</v>
      </c>
      <c r="E38" s="17">
        <v>5</v>
      </c>
      <c r="F38" s="6" t="s">
        <v>378</v>
      </c>
      <c r="G38" s="15"/>
      <c r="H38" s="15"/>
      <c r="I38" s="15"/>
      <c r="J38" s="15"/>
      <c r="K38" s="15"/>
      <c r="L38" s="15"/>
      <c r="M38" s="15"/>
      <c r="N38" s="15"/>
      <c r="O38" s="15"/>
      <c r="P38" s="15"/>
      <c r="Q38" s="15"/>
    </row>
    <row r="39" spans="1:23" ht="15" x14ac:dyDescent="0.25">
      <c r="A39" s="15"/>
      <c r="B39" s="15"/>
      <c r="C39" s="18"/>
      <c r="D39" s="17"/>
      <c r="E39" s="17"/>
      <c r="F39" s="6" t="s">
        <v>382</v>
      </c>
      <c r="G39" s="15"/>
      <c r="H39" s="15"/>
      <c r="I39" s="15"/>
      <c r="J39" s="15"/>
      <c r="K39" s="15"/>
      <c r="L39" s="15"/>
      <c r="M39" s="15"/>
      <c r="N39" s="15"/>
      <c r="O39" s="15"/>
      <c r="P39" s="15"/>
      <c r="Q39" s="15"/>
    </row>
    <row r="40" spans="1:23" ht="15" x14ac:dyDescent="0.25">
      <c r="A40" s="15"/>
      <c r="B40" s="15"/>
      <c r="C40" s="18">
        <v>44431</v>
      </c>
      <c r="D40" s="17" t="s">
        <v>412</v>
      </c>
      <c r="E40" s="17">
        <v>6</v>
      </c>
      <c r="F40" s="6" t="s">
        <v>410</v>
      </c>
      <c r="G40" s="15"/>
      <c r="H40" s="15"/>
      <c r="I40" s="15"/>
      <c r="J40" s="15"/>
      <c r="K40" s="15"/>
      <c r="L40" s="15"/>
      <c r="M40" s="15"/>
      <c r="N40" s="15"/>
      <c r="O40" s="15"/>
      <c r="P40" s="15"/>
      <c r="Q40" s="15"/>
    </row>
    <row r="41" spans="1:23" ht="15" x14ac:dyDescent="0.25">
      <c r="A41" s="15"/>
      <c r="B41" s="15"/>
      <c r="C41" s="18"/>
      <c r="D41" s="17"/>
      <c r="E41" s="17"/>
      <c r="F41" s="6" t="s">
        <v>411</v>
      </c>
      <c r="G41" s="15"/>
      <c r="H41" s="15"/>
      <c r="I41" s="15"/>
      <c r="J41" s="15"/>
      <c r="K41" s="15"/>
      <c r="L41" s="15"/>
      <c r="M41" s="15"/>
      <c r="N41" s="15"/>
      <c r="O41" s="15"/>
      <c r="P41" s="15"/>
      <c r="Q41" s="15"/>
    </row>
    <row r="42" spans="1:23" ht="15" x14ac:dyDescent="0.25">
      <c r="A42" s="15"/>
      <c r="B42" s="15"/>
      <c r="C42" s="18"/>
      <c r="D42" s="17"/>
      <c r="E42" s="17"/>
      <c r="F42" s="6" t="s">
        <v>413</v>
      </c>
      <c r="G42" s="15"/>
      <c r="H42" s="15"/>
      <c r="I42" s="15"/>
      <c r="J42" s="15"/>
      <c r="K42" s="15"/>
      <c r="L42" s="15"/>
      <c r="M42" s="15"/>
      <c r="N42" s="15"/>
      <c r="O42" s="15"/>
      <c r="P42" s="15"/>
      <c r="Q42" s="15"/>
    </row>
    <row r="43" spans="1:23" ht="15" x14ac:dyDescent="0.25">
      <c r="A43" s="15"/>
      <c r="B43" s="15"/>
      <c r="C43" s="18"/>
      <c r="D43" s="17"/>
      <c r="E43" s="17"/>
      <c r="F43" s="6" t="s">
        <v>417</v>
      </c>
      <c r="G43" s="15"/>
      <c r="H43" s="15"/>
      <c r="I43" s="15"/>
      <c r="J43" s="15"/>
      <c r="K43" s="15"/>
      <c r="L43" s="15"/>
      <c r="M43" s="15"/>
      <c r="N43" s="15"/>
      <c r="O43" s="15"/>
      <c r="P43" s="15"/>
      <c r="Q43" s="15"/>
    </row>
    <row r="44" spans="1:23" ht="15" x14ac:dyDescent="0.25">
      <c r="A44" s="15"/>
      <c r="B44" s="15"/>
      <c r="C44" s="18"/>
      <c r="D44" s="17"/>
      <c r="E44" s="17"/>
      <c r="F44" s="6" t="s">
        <v>423</v>
      </c>
      <c r="G44" s="15"/>
      <c r="H44" s="15"/>
      <c r="I44" s="15"/>
      <c r="J44" s="15"/>
      <c r="K44" s="15"/>
      <c r="L44" s="15"/>
      <c r="M44" s="15"/>
      <c r="N44" s="15"/>
      <c r="O44" s="15"/>
      <c r="P44" s="15"/>
      <c r="Q44" s="15"/>
    </row>
    <row r="45" spans="1:23" ht="15" x14ac:dyDescent="0.25">
      <c r="A45" s="15"/>
      <c r="B45" s="15"/>
      <c r="C45" s="18"/>
      <c r="D45" s="17"/>
      <c r="E45" s="17"/>
      <c r="F45" s="6" t="s">
        <v>422</v>
      </c>
      <c r="G45" s="15"/>
      <c r="H45" s="15"/>
      <c r="I45" s="15"/>
      <c r="J45" s="15"/>
      <c r="K45" s="15"/>
      <c r="L45" s="15"/>
      <c r="M45" s="15"/>
      <c r="N45" s="15"/>
      <c r="O45" s="15"/>
      <c r="P45" s="15"/>
      <c r="Q45" s="15"/>
    </row>
    <row r="46" spans="1:23" ht="15" x14ac:dyDescent="0.25">
      <c r="A46" s="15"/>
      <c r="B46" s="15"/>
      <c r="C46" s="18"/>
      <c r="D46" s="17"/>
      <c r="E46" s="17"/>
      <c r="F46" s="6" t="s">
        <v>429</v>
      </c>
      <c r="G46" s="15"/>
      <c r="H46" s="15"/>
      <c r="I46" s="15"/>
      <c r="J46" s="15"/>
      <c r="K46" s="15"/>
      <c r="L46" s="15"/>
      <c r="M46" s="15"/>
      <c r="N46" s="15"/>
      <c r="O46" s="15"/>
      <c r="P46" s="15"/>
      <c r="Q46" s="15"/>
    </row>
    <row r="47" spans="1:23" ht="15" x14ac:dyDescent="0.25">
      <c r="A47" s="15"/>
      <c r="B47" s="15"/>
      <c r="C47" s="18"/>
      <c r="D47" s="17"/>
      <c r="E47" s="17"/>
      <c r="F47" s="6" t="s">
        <v>431</v>
      </c>
      <c r="G47" s="15"/>
      <c r="H47" s="15"/>
      <c r="I47" s="15"/>
      <c r="J47" s="15"/>
      <c r="K47" s="15"/>
      <c r="L47" s="15"/>
      <c r="M47" s="15"/>
      <c r="N47" s="15"/>
      <c r="O47" s="15"/>
      <c r="P47" s="15"/>
      <c r="Q47" s="15"/>
    </row>
    <row r="48" spans="1:23" ht="15" x14ac:dyDescent="0.25">
      <c r="A48" s="15"/>
      <c r="B48" s="15"/>
      <c r="C48" s="18"/>
      <c r="D48" s="17"/>
      <c r="E48" s="17"/>
      <c r="F48" s="6"/>
      <c r="G48" s="15"/>
      <c r="H48" s="15"/>
      <c r="I48" s="15"/>
      <c r="J48" s="15"/>
      <c r="K48" s="15"/>
      <c r="L48" s="15"/>
      <c r="M48" s="15"/>
      <c r="N48" s="15"/>
      <c r="O48" s="15"/>
      <c r="P48" s="15"/>
      <c r="Q48" s="15"/>
    </row>
    <row r="49" spans="1:17" ht="15" x14ac:dyDescent="0.25">
      <c r="A49" s="15"/>
      <c r="B49" s="15"/>
      <c r="C49" s="18"/>
      <c r="D49" s="17"/>
      <c r="E49" s="17"/>
      <c r="F49" s="6"/>
      <c r="G49" s="15"/>
      <c r="H49" s="15"/>
      <c r="I49" s="15"/>
      <c r="J49" s="15"/>
      <c r="K49" s="15"/>
      <c r="L49" s="15"/>
      <c r="M49" s="15"/>
      <c r="N49" s="15"/>
      <c r="O49" s="15"/>
      <c r="P49" s="15"/>
      <c r="Q49" s="15"/>
    </row>
    <row r="50" spans="1:17" ht="15" x14ac:dyDescent="0.25">
      <c r="A50" s="15"/>
      <c r="B50" s="15"/>
      <c r="C50" s="18"/>
      <c r="D50" s="17"/>
      <c r="E50" s="17"/>
      <c r="F50" s="6"/>
      <c r="G50" s="15"/>
      <c r="H50" s="15"/>
      <c r="I50" s="15"/>
      <c r="J50" s="15"/>
      <c r="K50" s="15"/>
      <c r="L50" s="15"/>
      <c r="M50" s="15"/>
      <c r="N50" s="15"/>
      <c r="O50" s="15"/>
      <c r="P50" s="15"/>
      <c r="Q50" s="15"/>
    </row>
    <row r="51" spans="1:17" ht="15" x14ac:dyDescent="0.25">
      <c r="A51" s="15"/>
      <c r="B51" s="15"/>
      <c r="C51" s="18"/>
      <c r="D51" s="17"/>
      <c r="E51" s="17"/>
      <c r="F51" s="6"/>
      <c r="G51" s="15"/>
      <c r="H51" s="15"/>
      <c r="I51" s="15"/>
      <c r="J51" s="15"/>
      <c r="K51" s="15"/>
      <c r="L51" s="15"/>
      <c r="M51" s="15"/>
      <c r="N51" s="15"/>
      <c r="O51" s="15"/>
      <c r="P51" s="15"/>
      <c r="Q51" s="15"/>
    </row>
    <row r="52" spans="1:17" ht="15" x14ac:dyDescent="0.25">
      <c r="A52" s="15"/>
      <c r="B52" s="15"/>
      <c r="C52" s="18"/>
      <c r="D52" s="17"/>
      <c r="E52" s="17"/>
      <c r="F52" s="6"/>
      <c r="G52" s="15"/>
      <c r="H52" s="15"/>
      <c r="I52" s="15"/>
      <c r="J52" s="15"/>
      <c r="K52" s="15"/>
      <c r="L52" s="15"/>
      <c r="M52" s="15"/>
      <c r="N52" s="15"/>
      <c r="O52" s="15"/>
      <c r="P52" s="15"/>
      <c r="Q52" s="15"/>
    </row>
    <row r="53" spans="1:17" ht="15" x14ac:dyDescent="0.25">
      <c r="A53" s="15"/>
      <c r="B53" s="15"/>
      <c r="C53" s="18"/>
      <c r="D53" s="17"/>
      <c r="E53" s="17"/>
      <c r="F53" s="6"/>
      <c r="G53" s="15"/>
      <c r="H53" s="15"/>
      <c r="I53" s="15"/>
      <c r="J53" s="15"/>
      <c r="K53" s="15"/>
      <c r="L53" s="15"/>
      <c r="M53" s="15"/>
      <c r="N53" s="15"/>
      <c r="O53" s="15"/>
      <c r="P53" s="15"/>
      <c r="Q53" s="15"/>
    </row>
    <row r="54" spans="1:17" ht="15" x14ac:dyDescent="0.25">
      <c r="A54" s="15"/>
      <c r="B54" s="15"/>
      <c r="C54" s="18"/>
      <c r="D54" s="17"/>
      <c r="E54" s="17"/>
      <c r="F54" s="6"/>
      <c r="G54" s="15"/>
      <c r="H54" s="15"/>
      <c r="I54" s="15"/>
      <c r="J54" s="15"/>
      <c r="K54" s="15"/>
      <c r="L54" s="15"/>
      <c r="M54" s="15"/>
      <c r="N54" s="15"/>
      <c r="O54" s="15"/>
      <c r="P54" s="15"/>
      <c r="Q54" s="15"/>
    </row>
    <row r="55" spans="1:17" ht="15" x14ac:dyDescent="0.25">
      <c r="A55" s="15"/>
      <c r="B55" s="15"/>
      <c r="C55" s="18"/>
      <c r="D55" s="17"/>
      <c r="E55" s="17"/>
      <c r="F55" s="6"/>
      <c r="G55" s="15"/>
      <c r="H55" s="19"/>
      <c r="I55" s="15"/>
      <c r="J55" s="15"/>
      <c r="K55" s="15"/>
      <c r="L55" s="15"/>
      <c r="M55" s="15"/>
      <c r="N55" s="15"/>
      <c r="O55" s="15"/>
      <c r="P55" s="15"/>
      <c r="Q55" s="15"/>
    </row>
    <row r="56" spans="1:17" ht="15" x14ac:dyDescent="0.25">
      <c r="A56" s="15"/>
      <c r="B56" s="15"/>
      <c r="C56" s="18"/>
      <c r="D56" s="17"/>
      <c r="E56" s="17"/>
      <c r="F56" s="6"/>
      <c r="G56" s="15"/>
      <c r="H56" s="15"/>
      <c r="I56" s="15"/>
      <c r="J56" s="15"/>
      <c r="K56" s="15"/>
      <c r="L56" s="15"/>
      <c r="M56" s="15"/>
      <c r="N56" s="15"/>
      <c r="O56" s="15"/>
      <c r="P56" s="15"/>
      <c r="Q56" s="15"/>
    </row>
    <row r="57" spans="1:17" ht="15" x14ac:dyDescent="0.25">
      <c r="A57" s="15"/>
      <c r="B57" s="15"/>
      <c r="C57" s="18"/>
      <c r="D57" s="17"/>
      <c r="E57" s="16"/>
      <c r="F57" s="6"/>
      <c r="G57" s="15"/>
      <c r="H57" s="15"/>
      <c r="I57" s="15"/>
      <c r="J57" s="15"/>
      <c r="K57" s="15"/>
      <c r="L57" s="15"/>
      <c r="M57" s="15"/>
      <c r="N57" s="15"/>
      <c r="O57" s="15"/>
      <c r="P57" s="15"/>
      <c r="Q57" s="15"/>
    </row>
    <row r="58" spans="1:17" ht="15" x14ac:dyDescent="0.25">
      <c r="A58" s="15"/>
      <c r="B58" s="15"/>
      <c r="C58" s="18"/>
      <c r="D58" s="17"/>
      <c r="E58" s="16"/>
      <c r="F58" s="6"/>
      <c r="G58" s="15"/>
      <c r="H58" s="15"/>
      <c r="I58" s="15"/>
      <c r="J58" s="15"/>
      <c r="K58" s="15"/>
      <c r="L58" s="15"/>
      <c r="M58" s="15"/>
      <c r="N58" s="15"/>
      <c r="O58" s="15"/>
      <c r="P58" s="15"/>
      <c r="Q58" s="15"/>
    </row>
    <row r="59" spans="1:17" ht="15" x14ac:dyDescent="0.25">
      <c r="A59" s="15"/>
      <c r="B59" s="15"/>
      <c r="C59" s="18"/>
      <c r="D59" s="17"/>
      <c r="E59" s="16"/>
      <c r="F59" s="6"/>
      <c r="G59" s="15"/>
      <c r="H59" s="15"/>
      <c r="I59" s="15"/>
      <c r="J59" s="15"/>
      <c r="K59" s="15"/>
      <c r="L59" s="15"/>
      <c r="M59" s="15"/>
      <c r="N59" s="15"/>
      <c r="O59" s="15"/>
      <c r="P59" s="15"/>
      <c r="Q59" s="15"/>
    </row>
    <row r="60" spans="1:17" ht="15" x14ac:dyDescent="0.25">
      <c r="A60" s="15"/>
      <c r="B60" s="15"/>
      <c r="C60" s="18"/>
      <c r="D60" s="17"/>
      <c r="E60" s="16"/>
      <c r="F60" s="6"/>
      <c r="G60" s="15"/>
      <c r="H60" s="15"/>
      <c r="I60" s="15"/>
      <c r="J60" s="15"/>
      <c r="K60" s="15"/>
      <c r="L60" s="15"/>
      <c r="M60" s="15"/>
      <c r="N60" s="15"/>
      <c r="O60" s="15"/>
      <c r="P60" s="15"/>
      <c r="Q60" s="15"/>
    </row>
    <row r="61" spans="1:17" ht="15" x14ac:dyDescent="0.25">
      <c r="A61" s="15"/>
      <c r="B61" s="15"/>
      <c r="C61" s="18"/>
      <c r="D61" s="17"/>
      <c r="E61" s="16"/>
      <c r="F61" s="6"/>
      <c r="G61" s="15"/>
      <c r="H61" s="15"/>
      <c r="I61" s="15"/>
      <c r="J61" s="15"/>
      <c r="K61" s="15"/>
      <c r="L61" s="15"/>
      <c r="M61" s="15"/>
      <c r="N61" s="15"/>
      <c r="O61" s="15"/>
      <c r="P61" s="15"/>
      <c r="Q61" s="15"/>
    </row>
    <row r="62" spans="1:17" ht="15" x14ac:dyDescent="0.25">
      <c r="A62" s="15"/>
      <c r="B62" s="15"/>
      <c r="C62" s="18"/>
      <c r="D62" s="17"/>
      <c r="E62" s="16"/>
      <c r="F62" s="6"/>
      <c r="G62" s="15"/>
      <c r="H62" s="15"/>
      <c r="I62" s="15"/>
      <c r="J62" s="15"/>
      <c r="K62" s="15"/>
      <c r="L62" s="15"/>
      <c r="M62" s="15"/>
      <c r="N62" s="15"/>
      <c r="O62" s="15"/>
      <c r="P62" s="15"/>
      <c r="Q62" s="15"/>
    </row>
    <row r="63" spans="1:17" ht="15" x14ac:dyDescent="0.25">
      <c r="A63" s="15"/>
      <c r="B63" s="15"/>
      <c r="C63" s="18"/>
      <c r="D63" s="17"/>
      <c r="E63" s="16"/>
      <c r="F63" s="6"/>
      <c r="G63" s="15"/>
      <c r="H63" s="15"/>
      <c r="I63" s="15"/>
      <c r="J63" s="15"/>
      <c r="K63" s="15"/>
      <c r="L63" s="15"/>
      <c r="M63" s="15"/>
      <c r="N63" s="15"/>
      <c r="O63" s="15"/>
      <c r="P63" s="15"/>
      <c r="Q63" s="15"/>
    </row>
    <row r="64" spans="1:17" ht="15" x14ac:dyDescent="0.25">
      <c r="A64" s="15"/>
      <c r="B64" s="15"/>
      <c r="C64" s="18"/>
      <c r="D64" s="17"/>
      <c r="E64" s="16"/>
      <c r="F64" s="6"/>
      <c r="G64" s="15"/>
      <c r="H64" s="15"/>
      <c r="I64" s="15"/>
      <c r="J64" s="15"/>
      <c r="K64" s="15"/>
      <c r="L64" s="15"/>
      <c r="M64" s="15"/>
      <c r="N64" s="15"/>
      <c r="O64" s="15"/>
      <c r="P64" s="15"/>
      <c r="Q64" s="15"/>
    </row>
    <row r="65" spans="1:23" ht="15" x14ac:dyDescent="0.25">
      <c r="A65" s="15"/>
      <c r="B65" s="15"/>
      <c r="C65" s="18"/>
      <c r="D65" s="17"/>
      <c r="E65" s="16"/>
      <c r="F65" s="6"/>
      <c r="G65" s="15"/>
      <c r="H65" s="15"/>
      <c r="I65" s="15"/>
      <c r="J65" s="15"/>
      <c r="K65" s="15"/>
      <c r="L65" s="15"/>
      <c r="M65" s="15"/>
      <c r="N65" s="15"/>
      <c r="O65" s="15"/>
      <c r="P65" s="15"/>
      <c r="Q65" s="15"/>
    </row>
    <row r="66" spans="1:23" ht="15" x14ac:dyDescent="0.25">
      <c r="A66" s="15"/>
      <c r="B66" s="15"/>
      <c r="C66" s="18"/>
      <c r="D66" s="17"/>
      <c r="E66" s="16"/>
      <c r="F66" s="6"/>
      <c r="G66" s="15"/>
      <c r="H66" s="15"/>
      <c r="I66" s="15"/>
      <c r="J66" s="15"/>
      <c r="K66" s="15"/>
      <c r="L66" s="15"/>
      <c r="M66" s="15"/>
      <c r="N66" s="15"/>
      <c r="O66" s="15"/>
      <c r="P66" s="15"/>
      <c r="Q66" s="15"/>
    </row>
    <row r="67" spans="1:23" x14ac:dyDescent="0.25">
      <c r="D67" s="7"/>
      <c r="F67" s="6"/>
    </row>
    <row r="68" spans="1:23" x14ac:dyDescent="0.25">
      <c r="D68" s="7"/>
      <c r="F68" s="6"/>
    </row>
    <row r="69" spans="1:23" x14ac:dyDescent="0.25">
      <c r="D69" s="7"/>
      <c r="F69" s="6"/>
    </row>
    <row r="70" spans="1:23" x14ac:dyDescent="0.25">
      <c r="D70" s="7"/>
      <c r="F70" s="6"/>
    </row>
    <row r="71" spans="1:23" x14ac:dyDescent="0.25">
      <c r="D71" s="7"/>
      <c r="F71" s="6"/>
    </row>
    <row r="72" spans="1:23" x14ac:dyDescent="0.25">
      <c r="D72" s="7"/>
      <c r="F72" s="6"/>
    </row>
    <row r="73" spans="1:23" s="14" customFormat="1" x14ac:dyDescent="0.25">
      <c r="A73" s="8"/>
      <c r="B73" s="8"/>
      <c r="C73" s="12"/>
      <c r="D73" s="11"/>
      <c r="E73" s="10"/>
      <c r="F73" s="9"/>
      <c r="G73" s="8"/>
      <c r="H73" s="8"/>
      <c r="I73" s="8"/>
      <c r="J73" s="8"/>
      <c r="K73" s="8"/>
      <c r="L73" s="8"/>
      <c r="M73" s="8"/>
      <c r="N73" s="8"/>
      <c r="O73" s="8"/>
      <c r="P73" s="8"/>
      <c r="Q73" s="8"/>
      <c r="R73"/>
      <c r="S73"/>
      <c r="T73"/>
      <c r="U73"/>
      <c r="V73"/>
      <c r="W73"/>
    </row>
    <row r="74" spans="1:23" x14ac:dyDescent="0.25">
      <c r="D74" s="7"/>
      <c r="F74" s="6"/>
    </row>
    <row r="75" spans="1:23" x14ac:dyDescent="0.25">
      <c r="D75" s="7"/>
      <c r="F75" s="6"/>
    </row>
    <row r="76" spans="1:23" x14ac:dyDescent="0.25">
      <c r="D76" s="7"/>
      <c r="F76" s="6"/>
    </row>
    <row r="77" spans="1:23" x14ac:dyDescent="0.25">
      <c r="D77" s="7"/>
      <c r="F77" s="6"/>
    </row>
    <row r="78" spans="1:23" x14ac:dyDescent="0.25">
      <c r="D78" s="7"/>
      <c r="F78" s="6"/>
    </row>
    <row r="79" spans="1:23" s="13" customFormat="1" x14ac:dyDescent="0.25">
      <c r="A79" s="3"/>
      <c r="B79" s="3"/>
      <c r="C79" s="5"/>
      <c r="D79" s="7"/>
      <c r="E79" s="4"/>
      <c r="F79" s="6"/>
      <c r="G79" s="3"/>
      <c r="H79" s="3"/>
      <c r="I79" s="3"/>
      <c r="J79" s="3"/>
      <c r="K79" s="3"/>
      <c r="L79" s="3"/>
      <c r="M79" s="3"/>
      <c r="N79" s="3"/>
      <c r="O79" s="3"/>
      <c r="P79" s="3"/>
      <c r="Q79" s="3"/>
      <c r="R79"/>
      <c r="S79"/>
      <c r="T79"/>
      <c r="U79"/>
      <c r="V79"/>
      <c r="W79"/>
    </row>
    <row r="80" spans="1:23" x14ac:dyDescent="0.25">
      <c r="B80" s="8"/>
      <c r="C80" s="12"/>
      <c r="D80" s="11"/>
      <c r="E80" s="10"/>
      <c r="F80" s="9"/>
      <c r="G80" s="8"/>
      <c r="H80" s="8"/>
      <c r="I80" s="8"/>
      <c r="J80" s="8"/>
      <c r="K80" s="8"/>
    </row>
    <row r="81" spans="3:8" x14ac:dyDescent="0.25">
      <c r="D81" s="7"/>
      <c r="F81" s="6"/>
    </row>
    <row r="82" spans="3:8" x14ac:dyDescent="0.25">
      <c r="D82" s="7"/>
      <c r="F82" s="6"/>
    </row>
    <row r="83" spans="3:8" x14ac:dyDescent="0.25">
      <c r="D83" s="7"/>
      <c r="F83" s="6"/>
    </row>
    <row r="84" spans="3:8" x14ac:dyDescent="0.25">
      <c r="D84" s="7"/>
      <c r="F84" s="6"/>
    </row>
    <row r="85" spans="3:8" x14ac:dyDescent="0.25">
      <c r="C85" s="12"/>
      <c r="D85" s="11"/>
      <c r="E85" s="10"/>
      <c r="F85" s="9"/>
      <c r="G85" s="8"/>
      <c r="H85" s="8"/>
    </row>
    <row r="86" spans="3:8" x14ac:dyDescent="0.25">
      <c r="D86" s="7"/>
      <c r="F86" s="6"/>
    </row>
    <row r="87" spans="3:8" x14ac:dyDescent="0.25">
      <c r="C87" s="12"/>
      <c r="D87" s="11"/>
      <c r="E87" s="10"/>
      <c r="F87" s="9"/>
      <c r="G87" s="8"/>
    </row>
    <row r="88" spans="3:8" x14ac:dyDescent="0.25">
      <c r="D88" s="7"/>
      <c r="F88" s="6"/>
    </row>
    <row r="89" spans="3:8" x14ac:dyDescent="0.25">
      <c r="D89" s="7"/>
      <c r="F89" s="6"/>
    </row>
    <row r="90" spans="3:8" x14ac:dyDescent="0.25">
      <c r="D90" s="7"/>
      <c r="F90" s="6"/>
    </row>
    <row r="91" spans="3:8" x14ac:dyDescent="0.25">
      <c r="D91" s="7"/>
      <c r="F91" s="6"/>
    </row>
    <row r="92" spans="3:8" x14ac:dyDescent="0.25">
      <c r="D92" s="7"/>
      <c r="F92" s="6"/>
    </row>
    <row r="93" spans="3:8" x14ac:dyDescent="0.25">
      <c r="F93" s="6"/>
    </row>
    <row r="94" spans="3:8" x14ac:dyDescent="0.25">
      <c r="F94" s="6"/>
    </row>
    <row r="95" spans="3:8" x14ac:dyDescent="0.25">
      <c r="F95" s="6"/>
    </row>
    <row r="96" spans="3:8" x14ac:dyDescent="0.25">
      <c r="F96" s="6"/>
    </row>
    <row r="97" spans="6:6" x14ac:dyDescent="0.25">
      <c r="F97" s="6"/>
    </row>
    <row r="98" spans="6:6" x14ac:dyDescent="0.25">
      <c r="F98" s="6"/>
    </row>
    <row r="99" spans="6:6" x14ac:dyDescent="0.25">
      <c r="F99" s="6"/>
    </row>
    <row r="100" spans="6:6" x14ac:dyDescent="0.25">
      <c r="F100" s="6"/>
    </row>
    <row r="101" spans="6:6" x14ac:dyDescent="0.25">
      <c r="F101" s="6"/>
    </row>
    <row r="102" spans="6:6" x14ac:dyDescent="0.25">
      <c r="F102" s="6"/>
    </row>
    <row r="103" spans="6:6" x14ac:dyDescent="0.25">
      <c r="F103" s="6"/>
    </row>
    <row r="104" spans="6:6" x14ac:dyDescent="0.25">
      <c r="F104" s="6"/>
    </row>
    <row r="105" spans="6:6" x14ac:dyDescent="0.25">
      <c r="F105" s="6"/>
    </row>
    <row r="106" spans="6:6" x14ac:dyDescent="0.25">
      <c r="F106" s="6"/>
    </row>
    <row r="107" spans="6:6" x14ac:dyDescent="0.25">
      <c r="F107" s="6"/>
    </row>
    <row r="108" spans="6:6" x14ac:dyDescent="0.25">
      <c r="F108" s="6"/>
    </row>
    <row r="109" spans="6:6" x14ac:dyDescent="0.25">
      <c r="F109" s="6"/>
    </row>
    <row r="110" spans="6:6" x14ac:dyDescent="0.25">
      <c r="F110" s="6"/>
    </row>
    <row r="111" spans="6:6" x14ac:dyDescent="0.25">
      <c r="F111" s="6"/>
    </row>
    <row r="112" spans="6:6" x14ac:dyDescent="0.25">
      <c r="F112" s="6"/>
    </row>
    <row r="113" spans="6:6" x14ac:dyDescent="0.25">
      <c r="F113" s="6"/>
    </row>
    <row r="114" spans="6:6" x14ac:dyDescent="0.25">
      <c r="F114" s="6"/>
    </row>
    <row r="115" spans="6:6" x14ac:dyDescent="0.25">
      <c r="F115" s="6"/>
    </row>
    <row r="116" spans="6:6" x14ac:dyDescent="0.25">
      <c r="F116" s="6"/>
    </row>
    <row r="117" spans="6:6" x14ac:dyDescent="0.25">
      <c r="F117" s="6"/>
    </row>
    <row r="118" spans="6:6" x14ac:dyDescent="0.25">
      <c r="F118" s="6"/>
    </row>
    <row r="119" spans="6:6" x14ac:dyDescent="0.25">
      <c r="F119" s="6"/>
    </row>
    <row r="120" spans="6:6" x14ac:dyDescent="0.25">
      <c r="F120" s="6"/>
    </row>
    <row r="121" spans="6:6" x14ac:dyDescent="0.25">
      <c r="F121" s="6"/>
    </row>
    <row r="122" spans="6:6" x14ac:dyDescent="0.25">
      <c r="F122" s="6"/>
    </row>
    <row r="123" spans="6:6" x14ac:dyDescent="0.25">
      <c r="F123" s="6"/>
    </row>
    <row r="124" spans="6:6" x14ac:dyDescent="0.25">
      <c r="F124" s="6"/>
    </row>
    <row r="125" spans="6:6" x14ac:dyDescent="0.25">
      <c r="F125" s="6"/>
    </row>
    <row r="126" spans="6:6" x14ac:dyDescent="0.25">
      <c r="F126" s="6"/>
    </row>
    <row r="127" spans="6:6" x14ac:dyDescent="0.25">
      <c r="F127" s="6"/>
    </row>
    <row r="128" spans="6:6" x14ac:dyDescent="0.25">
      <c r="F128" s="6"/>
    </row>
    <row r="129" spans="6:6" x14ac:dyDescent="0.25">
      <c r="F129" s="6"/>
    </row>
    <row r="130" spans="6:6" x14ac:dyDescent="0.25">
      <c r="F130" s="6"/>
    </row>
    <row r="131" spans="6:6" x14ac:dyDescent="0.25">
      <c r="F131" s="6"/>
    </row>
    <row r="132" spans="6:6" x14ac:dyDescent="0.25">
      <c r="F132" s="6"/>
    </row>
    <row r="133" spans="6:6" x14ac:dyDescent="0.25">
      <c r="F133" s="6"/>
    </row>
    <row r="134" spans="6:6" x14ac:dyDescent="0.25">
      <c r="F134" s="6"/>
    </row>
    <row r="135" spans="6:6" x14ac:dyDescent="0.25">
      <c r="F135" s="6"/>
    </row>
    <row r="136" spans="6:6" x14ac:dyDescent="0.25">
      <c r="F136" s="6"/>
    </row>
    <row r="137" spans="6:6" x14ac:dyDescent="0.25">
      <c r="F137" s="6"/>
    </row>
    <row r="138" spans="6:6" x14ac:dyDescent="0.25">
      <c r="F138" s="6"/>
    </row>
    <row r="139" spans="6:6" x14ac:dyDescent="0.25">
      <c r="F139" s="6"/>
    </row>
    <row r="140" spans="6:6" x14ac:dyDescent="0.25">
      <c r="F140" s="6"/>
    </row>
    <row r="141" spans="6:6" x14ac:dyDescent="0.25">
      <c r="F141" s="6"/>
    </row>
    <row r="142" spans="6:6" x14ac:dyDescent="0.25">
      <c r="F142" s="6"/>
    </row>
    <row r="143" spans="6:6" x14ac:dyDescent="0.25">
      <c r="F143" s="6"/>
    </row>
    <row r="144" spans="6:6" x14ac:dyDescent="0.25">
      <c r="F144" s="6"/>
    </row>
    <row r="145" spans="6:6" x14ac:dyDescent="0.25">
      <c r="F145" s="6"/>
    </row>
    <row r="146" spans="6:6" x14ac:dyDescent="0.25">
      <c r="F146" s="6"/>
    </row>
    <row r="147" spans="6:6" x14ac:dyDescent="0.25">
      <c r="F147" s="6"/>
    </row>
    <row r="148" spans="6:6" x14ac:dyDescent="0.25">
      <c r="F148" s="6"/>
    </row>
    <row r="149" spans="6:6" x14ac:dyDescent="0.25">
      <c r="F149" s="6"/>
    </row>
    <row r="150" spans="6:6" x14ac:dyDescent="0.25">
      <c r="F150" s="6"/>
    </row>
    <row r="151" spans="6:6" x14ac:dyDescent="0.25">
      <c r="F151" s="6"/>
    </row>
    <row r="152" spans="6:6" x14ac:dyDescent="0.25">
      <c r="F152" s="6"/>
    </row>
    <row r="153" spans="6:6" x14ac:dyDescent="0.25">
      <c r="F153" s="6"/>
    </row>
    <row r="154" spans="6:6" x14ac:dyDescent="0.25">
      <c r="F154" s="6"/>
    </row>
    <row r="155" spans="6:6" x14ac:dyDescent="0.25">
      <c r="F155" s="6"/>
    </row>
    <row r="156" spans="6:6" x14ac:dyDescent="0.25">
      <c r="F156" s="6"/>
    </row>
    <row r="157" spans="6:6" x14ac:dyDescent="0.25">
      <c r="F157" s="6"/>
    </row>
    <row r="158" spans="6:6" x14ac:dyDescent="0.25">
      <c r="F158" s="6"/>
    </row>
    <row r="159" spans="6:6" x14ac:dyDescent="0.25">
      <c r="F159" s="6"/>
    </row>
    <row r="160" spans="6:6" x14ac:dyDescent="0.25">
      <c r="F160" s="6"/>
    </row>
    <row r="161" spans="6:6" x14ac:dyDescent="0.25">
      <c r="F161" s="6"/>
    </row>
    <row r="162" spans="6:6" x14ac:dyDescent="0.25">
      <c r="F162" s="6"/>
    </row>
    <row r="163" spans="6:6" x14ac:dyDescent="0.25">
      <c r="F163" s="6"/>
    </row>
    <row r="164" spans="6:6" x14ac:dyDescent="0.25">
      <c r="F164" s="6"/>
    </row>
    <row r="165" spans="6:6" x14ac:dyDescent="0.25">
      <c r="F165" s="6"/>
    </row>
    <row r="166" spans="6:6" x14ac:dyDescent="0.25">
      <c r="F166" s="6"/>
    </row>
    <row r="167" spans="6:6" x14ac:dyDescent="0.25">
      <c r="F167" s="6"/>
    </row>
    <row r="168" spans="6:6" x14ac:dyDescent="0.25">
      <c r="F168" s="6"/>
    </row>
    <row r="169" spans="6:6" x14ac:dyDescent="0.25">
      <c r="F169" s="6"/>
    </row>
    <row r="170" spans="6:6" x14ac:dyDescent="0.25">
      <c r="F170" s="6"/>
    </row>
    <row r="171" spans="6:6" x14ac:dyDescent="0.25">
      <c r="F171" s="6"/>
    </row>
    <row r="172" spans="6:6" x14ac:dyDescent="0.25">
      <c r="F172" s="6"/>
    </row>
    <row r="173" spans="6:6" x14ac:dyDescent="0.25">
      <c r="F173" s="6"/>
    </row>
    <row r="174" spans="6:6" x14ac:dyDescent="0.25">
      <c r="F174" s="6"/>
    </row>
    <row r="175" spans="6:6" x14ac:dyDescent="0.25">
      <c r="F175" s="6"/>
    </row>
    <row r="176" spans="6:6" x14ac:dyDescent="0.25">
      <c r="F176" s="6"/>
    </row>
    <row r="177" spans="6:6" x14ac:dyDescent="0.25">
      <c r="F177" s="6"/>
    </row>
    <row r="178" spans="6:6" x14ac:dyDescent="0.25">
      <c r="F178" s="6"/>
    </row>
    <row r="179" spans="6:6" x14ac:dyDescent="0.25">
      <c r="F179" s="6"/>
    </row>
    <row r="180" spans="6:6" x14ac:dyDescent="0.25">
      <c r="F180" s="6"/>
    </row>
    <row r="181" spans="6:6" x14ac:dyDescent="0.25">
      <c r="F181" s="6"/>
    </row>
    <row r="182" spans="6:6" x14ac:dyDescent="0.25">
      <c r="F182" s="6"/>
    </row>
    <row r="183" spans="6:6" x14ac:dyDescent="0.25">
      <c r="F183" s="6"/>
    </row>
    <row r="184" spans="6:6" x14ac:dyDescent="0.25">
      <c r="F184" s="6"/>
    </row>
    <row r="185" spans="6:6" x14ac:dyDescent="0.25">
      <c r="F185" s="6"/>
    </row>
    <row r="186" spans="6:6" x14ac:dyDescent="0.25">
      <c r="F186" s="6"/>
    </row>
    <row r="187" spans="6:6" x14ac:dyDescent="0.25">
      <c r="F187" s="6"/>
    </row>
    <row r="188" spans="6:6" x14ac:dyDescent="0.25">
      <c r="F188" s="6"/>
    </row>
    <row r="189" spans="6:6" x14ac:dyDescent="0.25">
      <c r="F189" s="6"/>
    </row>
    <row r="190" spans="6:6" x14ac:dyDescent="0.25">
      <c r="F190" s="6"/>
    </row>
    <row r="191" spans="6:6" x14ac:dyDescent="0.25">
      <c r="F191" s="6"/>
    </row>
    <row r="192" spans="6:6" x14ac:dyDescent="0.25">
      <c r="F192" s="6"/>
    </row>
    <row r="193" spans="6:6" x14ac:dyDescent="0.25">
      <c r="F193" s="6"/>
    </row>
    <row r="194" spans="6:6" x14ac:dyDescent="0.25">
      <c r="F194" s="6"/>
    </row>
    <row r="195" spans="6:6" x14ac:dyDescent="0.25">
      <c r="F195" s="6"/>
    </row>
    <row r="196" spans="6:6" x14ac:dyDescent="0.25">
      <c r="F196" s="6"/>
    </row>
    <row r="197" spans="6:6" x14ac:dyDescent="0.25">
      <c r="F197" s="6"/>
    </row>
    <row r="198" spans="6:6" x14ac:dyDescent="0.25">
      <c r="F198" s="6"/>
    </row>
    <row r="199" spans="6:6" x14ac:dyDescent="0.25">
      <c r="F199" s="6"/>
    </row>
    <row r="200" spans="6:6" x14ac:dyDescent="0.25">
      <c r="F200" s="6"/>
    </row>
    <row r="201" spans="6:6" x14ac:dyDescent="0.25">
      <c r="F201" s="6"/>
    </row>
    <row r="202" spans="6:6" x14ac:dyDescent="0.25">
      <c r="F202" s="6"/>
    </row>
    <row r="203" spans="6:6" x14ac:dyDescent="0.25">
      <c r="F203" s="6"/>
    </row>
    <row r="204" spans="6:6" x14ac:dyDescent="0.25">
      <c r="F204" s="6"/>
    </row>
    <row r="205" spans="6:6" x14ac:dyDescent="0.25">
      <c r="F205" s="6"/>
    </row>
    <row r="206" spans="6:6" x14ac:dyDescent="0.25">
      <c r="F206" s="6"/>
    </row>
    <row r="207" spans="6:6" x14ac:dyDescent="0.25">
      <c r="F207" s="6"/>
    </row>
    <row r="208" spans="6:6" x14ac:dyDescent="0.25">
      <c r="F208" s="6"/>
    </row>
    <row r="209" spans="6:6" x14ac:dyDescent="0.25">
      <c r="F209" s="6"/>
    </row>
    <row r="210" spans="6:6" x14ac:dyDescent="0.25">
      <c r="F210" s="6"/>
    </row>
    <row r="211" spans="6:6" x14ac:dyDescent="0.25">
      <c r="F211" s="6"/>
    </row>
    <row r="212" spans="6:6" x14ac:dyDescent="0.25">
      <c r="F212" s="6"/>
    </row>
    <row r="213" spans="6:6" x14ac:dyDescent="0.25">
      <c r="F213" s="6"/>
    </row>
    <row r="214" spans="6:6" x14ac:dyDescent="0.25">
      <c r="F214" s="6"/>
    </row>
    <row r="215" spans="6:6" x14ac:dyDescent="0.25">
      <c r="F215" s="6"/>
    </row>
    <row r="216" spans="6:6" x14ac:dyDescent="0.25">
      <c r="F216" s="6"/>
    </row>
    <row r="217" spans="6:6" x14ac:dyDescent="0.25">
      <c r="F217" s="6"/>
    </row>
    <row r="218" spans="6:6" x14ac:dyDescent="0.25">
      <c r="F218" s="6"/>
    </row>
    <row r="219" spans="6:6" x14ac:dyDescent="0.25">
      <c r="F219" s="6"/>
    </row>
    <row r="220" spans="6:6" x14ac:dyDescent="0.25">
      <c r="F220" s="6"/>
    </row>
    <row r="221" spans="6:6" x14ac:dyDescent="0.25">
      <c r="F221" s="6"/>
    </row>
    <row r="222" spans="6:6" x14ac:dyDescent="0.25">
      <c r="F222" s="6"/>
    </row>
    <row r="223" spans="6:6" x14ac:dyDescent="0.25">
      <c r="F223" s="6"/>
    </row>
    <row r="224" spans="6:6" x14ac:dyDescent="0.25">
      <c r="F224" s="6"/>
    </row>
    <row r="225" spans="6:6" x14ac:dyDescent="0.25">
      <c r="F225" s="6"/>
    </row>
    <row r="226" spans="6:6" x14ac:dyDescent="0.25">
      <c r="F226" s="6"/>
    </row>
    <row r="227" spans="6:6" x14ac:dyDescent="0.25">
      <c r="F227" s="6"/>
    </row>
    <row r="228" spans="6:6" x14ac:dyDescent="0.25">
      <c r="F228" s="6"/>
    </row>
    <row r="229" spans="6:6" x14ac:dyDescent="0.25">
      <c r="F229" s="6"/>
    </row>
    <row r="230" spans="6:6" x14ac:dyDescent="0.25">
      <c r="F230" s="6"/>
    </row>
    <row r="231" spans="6:6" x14ac:dyDescent="0.25">
      <c r="F231" s="6"/>
    </row>
    <row r="232" spans="6:6" x14ac:dyDescent="0.25">
      <c r="F232" s="6"/>
    </row>
    <row r="233" spans="6:6" x14ac:dyDescent="0.25">
      <c r="F233" s="6"/>
    </row>
    <row r="234" spans="6:6" x14ac:dyDescent="0.25">
      <c r="F234" s="6"/>
    </row>
    <row r="235" spans="6:6" x14ac:dyDescent="0.25">
      <c r="F235" s="6"/>
    </row>
    <row r="236" spans="6:6" x14ac:dyDescent="0.25">
      <c r="F236" s="6"/>
    </row>
    <row r="237" spans="6:6" x14ac:dyDescent="0.25">
      <c r="F237" s="6"/>
    </row>
    <row r="238" spans="6:6" x14ac:dyDescent="0.25">
      <c r="F238" s="6"/>
    </row>
    <row r="239" spans="6:6" x14ac:dyDescent="0.25">
      <c r="F239" s="6"/>
    </row>
    <row r="240" spans="6:6" x14ac:dyDescent="0.25">
      <c r="F240" s="6"/>
    </row>
    <row r="241" spans="6:6" x14ac:dyDescent="0.25">
      <c r="F241" s="6"/>
    </row>
    <row r="242" spans="6:6" x14ac:dyDescent="0.25">
      <c r="F242" s="6"/>
    </row>
    <row r="243" spans="6:6" x14ac:dyDescent="0.25">
      <c r="F243" s="6"/>
    </row>
    <row r="244" spans="6:6" x14ac:dyDescent="0.25">
      <c r="F244" s="6"/>
    </row>
    <row r="245" spans="6:6" x14ac:dyDescent="0.25">
      <c r="F245" s="6"/>
    </row>
    <row r="246" spans="6:6" x14ac:dyDescent="0.25">
      <c r="F246" s="6"/>
    </row>
    <row r="247" spans="6:6" x14ac:dyDescent="0.25">
      <c r="F247" s="6"/>
    </row>
    <row r="248" spans="6:6" x14ac:dyDescent="0.25">
      <c r="F248" s="6"/>
    </row>
    <row r="249" spans="6:6" x14ac:dyDescent="0.25">
      <c r="F249" s="6"/>
    </row>
    <row r="250" spans="6:6" x14ac:dyDescent="0.25">
      <c r="F250" s="6"/>
    </row>
    <row r="251" spans="6:6" x14ac:dyDescent="0.25">
      <c r="F251" s="6"/>
    </row>
    <row r="252" spans="6:6" x14ac:dyDescent="0.25">
      <c r="F252" s="6"/>
    </row>
    <row r="253" spans="6:6" x14ac:dyDescent="0.25">
      <c r="F253" s="6"/>
    </row>
    <row r="254" spans="6:6" x14ac:dyDescent="0.25">
      <c r="F254" s="6"/>
    </row>
    <row r="255" spans="6:6" x14ac:dyDescent="0.25">
      <c r="F255" s="6"/>
    </row>
    <row r="256" spans="6:6" x14ac:dyDescent="0.25">
      <c r="F256" s="6"/>
    </row>
    <row r="257" spans="6:6" x14ac:dyDescent="0.25">
      <c r="F257" s="6"/>
    </row>
    <row r="258" spans="6:6" x14ac:dyDescent="0.25">
      <c r="F258" s="6"/>
    </row>
    <row r="259" spans="6:6" x14ac:dyDescent="0.25">
      <c r="F259" s="6"/>
    </row>
    <row r="260" spans="6:6" x14ac:dyDescent="0.25">
      <c r="F260" s="6"/>
    </row>
    <row r="261" spans="6:6" x14ac:dyDescent="0.25">
      <c r="F261" s="6"/>
    </row>
    <row r="262" spans="6:6" x14ac:dyDescent="0.25">
      <c r="F262" s="6"/>
    </row>
    <row r="263" spans="6:6" x14ac:dyDescent="0.25">
      <c r="F263" s="6"/>
    </row>
    <row r="264" spans="6:6" x14ac:dyDescent="0.25">
      <c r="F264" s="6"/>
    </row>
    <row r="265" spans="6:6" x14ac:dyDescent="0.25">
      <c r="F265" s="6"/>
    </row>
    <row r="266" spans="6:6" x14ac:dyDescent="0.25">
      <c r="F266" s="6"/>
    </row>
    <row r="267" spans="6:6" x14ac:dyDescent="0.25">
      <c r="F267" s="6"/>
    </row>
    <row r="268" spans="6:6" x14ac:dyDescent="0.25">
      <c r="F268" s="6"/>
    </row>
    <row r="269" spans="6:6" x14ac:dyDescent="0.25">
      <c r="F269" s="6"/>
    </row>
    <row r="270" spans="6:6" x14ac:dyDescent="0.25">
      <c r="F270" s="6"/>
    </row>
    <row r="271" spans="6:6" x14ac:dyDescent="0.25">
      <c r="F271" s="6"/>
    </row>
    <row r="272" spans="6:6" x14ac:dyDescent="0.25">
      <c r="F272" s="6"/>
    </row>
    <row r="273" spans="6:6" x14ac:dyDescent="0.25">
      <c r="F273" s="6"/>
    </row>
    <row r="274" spans="6:6" x14ac:dyDescent="0.25">
      <c r="F274" s="6"/>
    </row>
    <row r="275" spans="6:6" x14ac:dyDescent="0.25">
      <c r="F275" s="6"/>
    </row>
    <row r="276" spans="6:6" x14ac:dyDescent="0.25">
      <c r="F276" s="6"/>
    </row>
    <row r="277" spans="6:6" x14ac:dyDescent="0.25">
      <c r="F277" s="6"/>
    </row>
    <row r="278" spans="6:6" x14ac:dyDescent="0.25">
      <c r="F278" s="6"/>
    </row>
    <row r="279" spans="6:6" x14ac:dyDescent="0.25">
      <c r="F279" s="6"/>
    </row>
    <row r="280" spans="6:6" x14ac:dyDescent="0.25">
      <c r="F280" s="6"/>
    </row>
    <row r="281" spans="6:6" x14ac:dyDescent="0.25">
      <c r="F281" s="6"/>
    </row>
    <row r="282" spans="6:6" x14ac:dyDescent="0.25">
      <c r="F282" s="6"/>
    </row>
    <row r="283" spans="6:6" x14ac:dyDescent="0.25">
      <c r="F283" s="6"/>
    </row>
    <row r="284" spans="6:6" x14ac:dyDescent="0.25">
      <c r="F284" s="6"/>
    </row>
    <row r="285" spans="6:6" x14ac:dyDescent="0.25">
      <c r="F285" s="6"/>
    </row>
    <row r="286" spans="6:6" x14ac:dyDescent="0.25">
      <c r="F286" s="6"/>
    </row>
    <row r="287" spans="6:6" x14ac:dyDescent="0.25">
      <c r="F287" s="6"/>
    </row>
    <row r="288" spans="6:6" x14ac:dyDescent="0.25">
      <c r="F288" s="6"/>
    </row>
    <row r="289" spans="6:6" x14ac:dyDescent="0.25">
      <c r="F289" s="6"/>
    </row>
    <row r="290" spans="6:6" x14ac:dyDescent="0.25">
      <c r="F290" s="6"/>
    </row>
    <row r="291" spans="6:6" x14ac:dyDescent="0.25">
      <c r="F291" s="6"/>
    </row>
    <row r="292" spans="6:6" x14ac:dyDescent="0.25">
      <c r="F292" s="6"/>
    </row>
    <row r="293" spans="6:6" x14ac:dyDescent="0.25">
      <c r="F293" s="6"/>
    </row>
    <row r="294" spans="6:6" x14ac:dyDescent="0.25">
      <c r="F294" s="6"/>
    </row>
    <row r="295" spans="6:6" x14ac:dyDescent="0.25">
      <c r="F295" s="6"/>
    </row>
    <row r="296" spans="6:6" x14ac:dyDescent="0.25">
      <c r="F296" s="6"/>
    </row>
    <row r="297" spans="6:6" x14ac:dyDescent="0.25">
      <c r="F297" s="6"/>
    </row>
    <row r="298" spans="6:6" x14ac:dyDescent="0.25">
      <c r="F298" s="6"/>
    </row>
    <row r="299" spans="6:6" x14ac:dyDescent="0.25">
      <c r="F299" s="6"/>
    </row>
    <row r="300" spans="6:6" x14ac:dyDescent="0.25">
      <c r="F300" s="6"/>
    </row>
    <row r="301" spans="6:6" x14ac:dyDescent="0.25">
      <c r="F301" s="6"/>
    </row>
    <row r="302" spans="6:6" x14ac:dyDescent="0.25">
      <c r="F302" s="6"/>
    </row>
    <row r="303" spans="6:6" x14ac:dyDescent="0.25">
      <c r="F303" s="6"/>
    </row>
    <row r="304" spans="6:6" x14ac:dyDescent="0.25">
      <c r="F304" s="6"/>
    </row>
    <row r="305" spans="6:6" x14ac:dyDescent="0.25">
      <c r="F305" s="6"/>
    </row>
    <row r="306" spans="6:6" x14ac:dyDescent="0.25">
      <c r="F306" s="6"/>
    </row>
    <row r="307" spans="6:6" x14ac:dyDescent="0.25">
      <c r="F307" s="6"/>
    </row>
    <row r="308" spans="6:6" x14ac:dyDescent="0.25">
      <c r="F308" s="6"/>
    </row>
    <row r="309" spans="6:6" x14ac:dyDescent="0.25">
      <c r="F309" s="6"/>
    </row>
    <row r="310" spans="6:6" x14ac:dyDescent="0.25">
      <c r="F310" s="6"/>
    </row>
    <row r="311" spans="6:6" x14ac:dyDescent="0.25">
      <c r="F311" s="6"/>
    </row>
    <row r="312" spans="6:6" x14ac:dyDescent="0.25">
      <c r="F312" s="6"/>
    </row>
    <row r="313" spans="6:6" x14ac:dyDescent="0.25">
      <c r="F313" s="6"/>
    </row>
    <row r="314" spans="6:6" x14ac:dyDescent="0.25">
      <c r="F314" s="6"/>
    </row>
    <row r="315" spans="6:6" x14ac:dyDescent="0.25">
      <c r="F315" s="6"/>
    </row>
    <row r="316" spans="6:6" x14ac:dyDescent="0.25">
      <c r="F316" s="6"/>
    </row>
    <row r="317" spans="6:6" x14ac:dyDescent="0.25">
      <c r="F317" s="6"/>
    </row>
    <row r="318" spans="6:6" x14ac:dyDescent="0.25">
      <c r="F318" s="6"/>
    </row>
    <row r="319" spans="6:6" x14ac:dyDescent="0.25">
      <c r="F319" s="6"/>
    </row>
    <row r="320" spans="6:6" x14ac:dyDescent="0.25">
      <c r="F320" s="6"/>
    </row>
    <row r="321" spans="6:6" x14ac:dyDescent="0.25">
      <c r="F321" s="6"/>
    </row>
    <row r="322" spans="6:6" x14ac:dyDescent="0.25">
      <c r="F322" s="6"/>
    </row>
    <row r="323" spans="6:6" x14ac:dyDescent="0.25">
      <c r="F323" s="6"/>
    </row>
    <row r="324" spans="6:6" x14ac:dyDescent="0.25">
      <c r="F324" s="6"/>
    </row>
    <row r="325" spans="6:6" x14ac:dyDescent="0.25">
      <c r="F325" s="6"/>
    </row>
    <row r="326" spans="6:6" x14ac:dyDescent="0.25">
      <c r="F326" s="6"/>
    </row>
    <row r="327" spans="6:6" x14ac:dyDescent="0.25">
      <c r="F327" s="6"/>
    </row>
    <row r="328" spans="6:6" x14ac:dyDescent="0.25">
      <c r="F328" s="6"/>
    </row>
    <row r="329" spans="6:6" x14ac:dyDescent="0.25">
      <c r="F329" s="6"/>
    </row>
    <row r="330" spans="6:6" x14ac:dyDescent="0.25">
      <c r="F330" s="6"/>
    </row>
    <row r="331" spans="6:6" x14ac:dyDescent="0.25">
      <c r="F331" s="6"/>
    </row>
    <row r="332" spans="6:6" x14ac:dyDescent="0.25">
      <c r="F332" s="6"/>
    </row>
    <row r="333" spans="6:6" x14ac:dyDescent="0.25">
      <c r="F333" s="6"/>
    </row>
    <row r="334" spans="6:6" x14ac:dyDescent="0.25">
      <c r="F334" s="6"/>
    </row>
    <row r="335" spans="6:6" x14ac:dyDescent="0.25">
      <c r="F335" s="6"/>
    </row>
    <row r="336" spans="6:6" x14ac:dyDescent="0.25">
      <c r="F336" s="6"/>
    </row>
    <row r="337" spans="6:6" x14ac:dyDescent="0.25">
      <c r="F337" s="6"/>
    </row>
    <row r="338" spans="6:6" x14ac:dyDescent="0.25">
      <c r="F338" s="6"/>
    </row>
    <row r="339" spans="6:6" x14ac:dyDescent="0.25">
      <c r="F339" s="6"/>
    </row>
    <row r="340" spans="6:6" x14ac:dyDescent="0.25">
      <c r="F340" s="6"/>
    </row>
    <row r="341" spans="6:6" x14ac:dyDescent="0.25">
      <c r="F341" s="6"/>
    </row>
    <row r="342" spans="6:6" x14ac:dyDescent="0.25">
      <c r="F342" s="6"/>
    </row>
    <row r="343" spans="6:6" x14ac:dyDescent="0.25">
      <c r="F343" s="6"/>
    </row>
    <row r="344" spans="6:6" x14ac:dyDescent="0.25">
      <c r="F344" s="6"/>
    </row>
    <row r="345" spans="6:6" x14ac:dyDescent="0.25">
      <c r="F345" s="6"/>
    </row>
    <row r="346" spans="6:6" x14ac:dyDescent="0.25">
      <c r="F346" s="6"/>
    </row>
    <row r="347" spans="6:6" x14ac:dyDescent="0.25">
      <c r="F347" s="6"/>
    </row>
    <row r="348" spans="6:6" x14ac:dyDescent="0.25">
      <c r="F348" s="6"/>
    </row>
    <row r="349" spans="6:6" x14ac:dyDescent="0.25">
      <c r="F349" s="6"/>
    </row>
    <row r="350" spans="6:6" x14ac:dyDescent="0.25">
      <c r="F350" s="6"/>
    </row>
    <row r="351" spans="6:6" x14ac:dyDescent="0.25">
      <c r="F351" s="6"/>
    </row>
    <row r="352" spans="6:6" x14ac:dyDescent="0.25">
      <c r="F352" s="6"/>
    </row>
    <row r="353" spans="6:6" x14ac:dyDescent="0.25">
      <c r="F353" s="6"/>
    </row>
    <row r="354" spans="6:6" x14ac:dyDescent="0.25">
      <c r="F354" s="6"/>
    </row>
    <row r="355" spans="6:6" x14ac:dyDescent="0.25">
      <c r="F355" s="6"/>
    </row>
    <row r="356" spans="6:6" x14ac:dyDescent="0.25">
      <c r="F356" s="6"/>
    </row>
    <row r="357" spans="6:6" x14ac:dyDescent="0.25">
      <c r="F357" s="6"/>
    </row>
    <row r="358" spans="6:6" x14ac:dyDescent="0.25">
      <c r="F358" s="6"/>
    </row>
    <row r="359" spans="6:6" x14ac:dyDescent="0.25">
      <c r="F359" s="6"/>
    </row>
    <row r="360" spans="6:6" x14ac:dyDescent="0.25">
      <c r="F360" s="6"/>
    </row>
    <row r="361" spans="6:6" x14ac:dyDescent="0.25">
      <c r="F361" s="6"/>
    </row>
    <row r="362" spans="6:6" x14ac:dyDescent="0.25">
      <c r="F362" s="6"/>
    </row>
    <row r="363" spans="6:6" x14ac:dyDescent="0.25">
      <c r="F363" s="6"/>
    </row>
    <row r="364" spans="6:6" x14ac:dyDescent="0.25">
      <c r="F364" s="6"/>
    </row>
    <row r="365" spans="6:6" x14ac:dyDescent="0.25">
      <c r="F365" s="6"/>
    </row>
    <row r="366" spans="6:6" x14ac:dyDescent="0.25">
      <c r="F366" s="6"/>
    </row>
    <row r="367" spans="6:6" x14ac:dyDescent="0.25">
      <c r="F367" s="6"/>
    </row>
    <row r="368" spans="6:6" x14ac:dyDescent="0.25">
      <c r="F368" s="6"/>
    </row>
    <row r="369" spans="6:6" x14ac:dyDescent="0.25">
      <c r="F369" s="6"/>
    </row>
    <row r="370" spans="6:6" x14ac:dyDescent="0.25">
      <c r="F370" s="6"/>
    </row>
    <row r="371" spans="6:6" x14ac:dyDescent="0.25">
      <c r="F371" s="6"/>
    </row>
    <row r="372" spans="6:6" x14ac:dyDescent="0.25">
      <c r="F372" s="6"/>
    </row>
    <row r="373" spans="6:6" x14ac:dyDescent="0.25">
      <c r="F373" s="6"/>
    </row>
    <row r="374" spans="6:6" x14ac:dyDescent="0.25">
      <c r="F374" s="6"/>
    </row>
    <row r="375" spans="6:6" x14ac:dyDescent="0.25">
      <c r="F375" s="6"/>
    </row>
    <row r="376" spans="6:6" x14ac:dyDescent="0.25">
      <c r="F376" s="6"/>
    </row>
    <row r="377" spans="6:6" x14ac:dyDescent="0.25">
      <c r="F377" s="6"/>
    </row>
    <row r="378" spans="6:6" x14ac:dyDescent="0.25">
      <c r="F378" s="6"/>
    </row>
    <row r="379" spans="6:6" x14ac:dyDescent="0.25">
      <c r="F379" s="6"/>
    </row>
    <row r="380" spans="6:6" x14ac:dyDescent="0.25">
      <c r="F380" s="6"/>
    </row>
    <row r="381" spans="6:6" x14ac:dyDescent="0.25">
      <c r="F381" s="6"/>
    </row>
    <row r="382" spans="6:6" x14ac:dyDescent="0.25">
      <c r="F382" s="6"/>
    </row>
    <row r="383" spans="6:6" x14ac:dyDescent="0.25">
      <c r="F383" s="6"/>
    </row>
    <row r="384" spans="6:6" x14ac:dyDescent="0.25">
      <c r="F384" s="6"/>
    </row>
    <row r="385" spans="6:6" x14ac:dyDescent="0.25">
      <c r="F385" s="6"/>
    </row>
    <row r="386" spans="6:6" x14ac:dyDescent="0.25">
      <c r="F386" s="6"/>
    </row>
    <row r="387" spans="6:6" x14ac:dyDescent="0.25">
      <c r="F387" s="6"/>
    </row>
    <row r="388" spans="6:6" x14ac:dyDescent="0.25">
      <c r="F388" s="6"/>
    </row>
    <row r="389" spans="6:6" x14ac:dyDescent="0.25">
      <c r="F389" s="6"/>
    </row>
    <row r="390" spans="6:6" x14ac:dyDescent="0.25">
      <c r="F390" s="6"/>
    </row>
    <row r="391" spans="6:6" x14ac:dyDescent="0.25">
      <c r="F391" s="6"/>
    </row>
    <row r="392" spans="6:6" x14ac:dyDescent="0.25">
      <c r="F392" s="6"/>
    </row>
    <row r="393" spans="6:6" x14ac:dyDescent="0.25">
      <c r="F393" s="6"/>
    </row>
    <row r="394" spans="6:6" x14ac:dyDescent="0.25">
      <c r="F394" s="6"/>
    </row>
    <row r="395" spans="6:6" x14ac:dyDescent="0.25">
      <c r="F395" s="6"/>
    </row>
    <row r="396" spans="6:6" x14ac:dyDescent="0.25">
      <c r="F396" s="6"/>
    </row>
    <row r="397" spans="6:6" x14ac:dyDescent="0.25">
      <c r="F397" s="6"/>
    </row>
    <row r="398" spans="6:6" x14ac:dyDescent="0.25">
      <c r="F398" s="6"/>
    </row>
    <row r="399" spans="6:6" x14ac:dyDescent="0.25">
      <c r="F399" s="6"/>
    </row>
    <row r="400" spans="6:6" x14ac:dyDescent="0.25">
      <c r="F400" s="6"/>
    </row>
    <row r="401" spans="6:6" x14ac:dyDescent="0.25">
      <c r="F401" s="6"/>
    </row>
    <row r="402" spans="6:6" x14ac:dyDescent="0.25">
      <c r="F402" s="6"/>
    </row>
    <row r="403" spans="6:6" x14ac:dyDescent="0.25">
      <c r="F403" s="6"/>
    </row>
    <row r="404" spans="6:6" x14ac:dyDescent="0.25">
      <c r="F404" s="6"/>
    </row>
    <row r="405" spans="6:6" x14ac:dyDescent="0.25">
      <c r="F405" s="6"/>
    </row>
    <row r="406" spans="6:6" x14ac:dyDescent="0.25">
      <c r="F406" s="6"/>
    </row>
    <row r="407" spans="6:6" x14ac:dyDescent="0.25">
      <c r="F407" s="6"/>
    </row>
    <row r="408" spans="6:6" x14ac:dyDescent="0.25">
      <c r="F408" s="6"/>
    </row>
    <row r="409" spans="6:6" x14ac:dyDescent="0.25">
      <c r="F409" s="6"/>
    </row>
    <row r="410" spans="6:6" x14ac:dyDescent="0.25">
      <c r="F410" s="6"/>
    </row>
    <row r="411" spans="6:6" x14ac:dyDescent="0.25">
      <c r="F411" s="6"/>
    </row>
    <row r="412" spans="6:6" x14ac:dyDescent="0.25">
      <c r="F412" s="6"/>
    </row>
    <row r="413" spans="6:6" x14ac:dyDescent="0.25">
      <c r="F413" s="6"/>
    </row>
    <row r="414" spans="6:6" x14ac:dyDescent="0.25">
      <c r="F414" s="6"/>
    </row>
    <row r="415" spans="6:6" x14ac:dyDescent="0.25">
      <c r="F415" s="6"/>
    </row>
    <row r="416" spans="6:6" x14ac:dyDescent="0.25">
      <c r="F416" s="6"/>
    </row>
    <row r="417" spans="6:6" x14ac:dyDescent="0.25">
      <c r="F417" s="6"/>
    </row>
    <row r="418" spans="6:6" x14ac:dyDescent="0.25">
      <c r="F418" s="6"/>
    </row>
    <row r="419" spans="6:6" x14ac:dyDescent="0.25">
      <c r="F419" s="6"/>
    </row>
    <row r="420" spans="6:6" x14ac:dyDescent="0.25">
      <c r="F420" s="6"/>
    </row>
    <row r="421" spans="6:6" x14ac:dyDescent="0.25">
      <c r="F421" s="6"/>
    </row>
    <row r="422" spans="6:6" x14ac:dyDescent="0.25">
      <c r="F422" s="6"/>
    </row>
    <row r="423" spans="6:6" x14ac:dyDescent="0.25">
      <c r="F423" s="6"/>
    </row>
    <row r="424" spans="6:6" x14ac:dyDescent="0.25">
      <c r="F424" s="6"/>
    </row>
    <row r="425" spans="6:6" x14ac:dyDescent="0.25">
      <c r="F425" s="6"/>
    </row>
    <row r="426" spans="6:6" x14ac:dyDescent="0.25">
      <c r="F426" s="6"/>
    </row>
    <row r="427" spans="6:6" x14ac:dyDescent="0.25">
      <c r="F427" s="6"/>
    </row>
    <row r="428" spans="6:6" x14ac:dyDescent="0.25">
      <c r="F428" s="6"/>
    </row>
    <row r="429" spans="6:6" x14ac:dyDescent="0.25">
      <c r="F429" s="6"/>
    </row>
    <row r="430" spans="6:6" x14ac:dyDescent="0.25">
      <c r="F430" s="6"/>
    </row>
    <row r="431" spans="6:6" x14ac:dyDescent="0.25">
      <c r="F431" s="6"/>
    </row>
    <row r="432" spans="6:6" x14ac:dyDescent="0.25">
      <c r="F432" s="6"/>
    </row>
    <row r="433" spans="6:6" x14ac:dyDescent="0.25">
      <c r="F433" s="6"/>
    </row>
    <row r="434" spans="6:6" x14ac:dyDescent="0.25">
      <c r="F434" s="6"/>
    </row>
    <row r="435" spans="6:6" x14ac:dyDescent="0.25">
      <c r="F435" s="6"/>
    </row>
    <row r="436" spans="6:6" x14ac:dyDescent="0.25">
      <c r="F436" s="6"/>
    </row>
    <row r="437" spans="6:6" x14ac:dyDescent="0.25">
      <c r="F437" s="6"/>
    </row>
    <row r="438" spans="6:6" x14ac:dyDescent="0.25">
      <c r="F438" s="6"/>
    </row>
    <row r="439" spans="6:6" x14ac:dyDescent="0.25">
      <c r="F439" s="6"/>
    </row>
    <row r="440" spans="6:6" x14ac:dyDescent="0.25">
      <c r="F440" s="6"/>
    </row>
    <row r="441" spans="6:6" x14ac:dyDescent="0.25">
      <c r="F441" s="6"/>
    </row>
    <row r="442" spans="6:6" x14ac:dyDescent="0.25">
      <c r="F442" s="6"/>
    </row>
    <row r="443" spans="6:6" x14ac:dyDescent="0.25">
      <c r="F443" s="6"/>
    </row>
    <row r="444" spans="6:6" x14ac:dyDescent="0.25">
      <c r="F444" s="6"/>
    </row>
    <row r="445" spans="6:6" x14ac:dyDescent="0.25">
      <c r="F445" s="6"/>
    </row>
    <row r="446" spans="6:6" x14ac:dyDescent="0.25">
      <c r="F446" s="6"/>
    </row>
    <row r="447" spans="6:6" x14ac:dyDescent="0.25">
      <c r="F447" s="6"/>
    </row>
    <row r="448" spans="6:6" x14ac:dyDescent="0.25">
      <c r="F448" s="6"/>
    </row>
    <row r="449" spans="6:6" x14ac:dyDescent="0.25">
      <c r="F449" s="6"/>
    </row>
    <row r="450" spans="6:6" x14ac:dyDescent="0.25">
      <c r="F450" s="6"/>
    </row>
    <row r="451" spans="6:6" x14ac:dyDescent="0.25">
      <c r="F451" s="6"/>
    </row>
    <row r="452" spans="6:6" x14ac:dyDescent="0.25">
      <c r="F452" s="6"/>
    </row>
    <row r="453" spans="6:6" x14ac:dyDescent="0.25">
      <c r="F453" s="6"/>
    </row>
    <row r="454" spans="6:6" x14ac:dyDescent="0.25">
      <c r="F454" s="6"/>
    </row>
    <row r="455" spans="6:6" x14ac:dyDescent="0.25">
      <c r="F455" s="6"/>
    </row>
    <row r="456" spans="6:6" x14ac:dyDescent="0.25">
      <c r="F456" s="6"/>
    </row>
    <row r="457" spans="6:6" x14ac:dyDescent="0.25">
      <c r="F457" s="6"/>
    </row>
    <row r="458" spans="6:6" x14ac:dyDescent="0.25">
      <c r="F458" s="6"/>
    </row>
    <row r="459" spans="6:6" x14ac:dyDescent="0.25">
      <c r="F459" s="6"/>
    </row>
    <row r="460" spans="6:6" x14ac:dyDescent="0.25">
      <c r="F460" s="6"/>
    </row>
    <row r="461" spans="6:6" x14ac:dyDescent="0.25">
      <c r="F461" s="6"/>
    </row>
    <row r="462" spans="6:6" x14ac:dyDescent="0.25">
      <c r="F462" s="6"/>
    </row>
    <row r="463" spans="6:6" x14ac:dyDescent="0.25">
      <c r="F463" s="6"/>
    </row>
    <row r="464" spans="6:6" x14ac:dyDescent="0.25">
      <c r="F464" s="6"/>
    </row>
    <row r="465" spans="6:6" x14ac:dyDescent="0.25">
      <c r="F465" s="6"/>
    </row>
    <row r="466" spans="6:6" x14ac:dyDescent="0.25">
      <c r="F466" s="6"/>
    </row>
    <row r="467" spans="6:6" x14ac:dyDescent="0.25">
      <c r="F467" s="6"/>
    </row>
    <row r="468" spans="6:6" x14ac:dyDescent="0.25">
      <c r="F468" s="6"/>
    </row>
    <row r="469" spans="6:6" x14ac:dyDescent="0.25">
      <c r="F469" s="6"/>
    </row>
    <row r="470" spans="6:6" x14ac:dyDescent="0.25">
      <c r="F470" s="6"/>
    </row>
    <row r="471" spans="6:6" x14ac:dyDescent="0.25">
      <c r="F471" s="6"/>
    </row>
    <row r="472" spans="6:6" x14ac:dyDescent="0.25">
      <c r="F472" s="6"/>
    </row>
    <row r="473" spans="6:6" x14ac:dyDescent="0.25">
      <c r="F473" s="6"/>
    </row>
    <row r="474" spans="6:6" x14ac:dyDescent="0.25">
      <c r="F474" s="6"/>
    </row>
    <row r="475" spans="6:6" x14ac:dyDescent="0.25">
      <c r="F475" s="6"/>
    </row>
    <row r="476" spans="6:6" x14ac:dyDescent="0.25">
      <c r="F476" s="6"/>
    </row>
    <row r="477" spans="6:6" x14ac:dyDescent="0.25">
      <c r="F477" s="6"/>
    </row>
    <row r="478" spans="6:6" x14ac:dyDescent="0.25">
      <c r="F478" s="6"/>
    </row>
    <row r="479" spans="6:6" x14ac:dyDescent="0.25">
      <c r="F479" s="6"/>
    </row>
    <row r="480" spans="6:6" x14ac:dyDescent="0.25">
      <c r="F480" s="6"/>
    </row>
    <row r="481" spans="6:6" x14ac:dyDescent="0.25">
      <c r="F481" s="6"/>
    </row>
    <row r="482" spans="6:6" x14ac:dyDescent="0.25">
      <c r="F482" s="6"/>
    </row>
    <row r="483" spans="6:6" x14ac:dyDescent="0.25">
      <c r="F483" s="6"/>
    </row>
    <row r="484" spans="6:6" x14ac:dyDescent="0.25">
      <c r="F484" s="6"/>
    </row>
    <row r="485" spans="6:6" x14ac:dyDescent="0.25">
      <c r="F485" s="6"/>
    </row>
    <row r="486" spans="6:6" x14ac:dyDescent="0.25">
      <c r="F486" s="6"/>
    </row>
    <row r="487" spans="6:6" x14ac:dyDescent="0.25">
      <c r="F487" s="6"/>
    </row>
    <row r="488" spans="6:6" x14ac:dyDescent="0.25">
      <c r="F488" s="6"/>
    </row>
    <row r="489" spans="6:6" x14ac:dyDescent="0.25">
      <c r="F489" s="6"/>
    </row>
    <row r="490" spans="6:6" x14ac:dyDescent="0.25">
      <c r="F490" s="6"/>
    </row>
    <row r="491" spans="6:6" x14ac:dyDescent="0.25">
      <c r="F491" s="6"/>
    </row>
    <row r="492" spans="6:6" x14ac:dyDescent="0.25">
      <c r="F492" s="6"/>
    </row>
    <row r="493" spans="6:6" x14ac:dyDescent="0.25">
      <c r="F493" s="6"/>
    </row>
    <row r="494" spans="6:6" x14ac:dyDescent="0.25">
      <c r="F494" s="6"/>
    </row>
    <row r="495" spans="6:6" x14ac:dyDescent="0.25">
      <c r="F495" s="6"/>
    </row>
    <row r="496" spans="6:6" x14ac:dyDescent="0.25">
      <c r="F496" s="6"/>
    </row>
    <row r="497" spans="6:6" x14ac:dyDescent="0.25">
      <c r="F497" s="6"/>
    </row>
    <row r="498" spans="6:6" x14ac:dyDescent="0.25">
      <c r="F498" s="6"/>
    </row>
    <row r="499" spans="6:6" x14ac:dyDescent="0.25">
      <c r="F499" s="6"/>
    </row>
    <row r="500" spans="6:6" x14ac:dyDescent="0.25">
      <c r="F500" s="6"/>
    </row>
    <row r="501" spans="6:6" x14ac:dyDescent="0.25">
      <c r="F501" s="6"/>
    </row>
    <row r="502" spans="6:6" x14ac:dyDescent="0.25">
      <c r="F502" s="6"/>
    </row>
    <row r="503" spans="6:6" x14ac:dyDescent="0.25">
      <c r="F503" s="6"/>
    </row>
    <row r="504" spans="6:6" x14ac:dyDescent="0.25">
      <c r="F504" s="6"/>
    </row>
    <row r="505" spans="6:6" x14ac:dyDescent="0.25">
      <c r="F505" s="6"/>
    </row>
    <row r="506" spans="6:6" x14ac:dyDescent="0.25">
      <c r="F506" s="6"/>
    </row>
    <row r="507" spans="6:6" x14ac:dyDescent="0.25">
      <c r="F507" s="6"/>
    </row>
    <row r="508" spans="6:6" x14ac:dyDescent="0.25">
      <c r="F508" s="6"/>
    </row>
    <row r="509" spans="6:6" x14ac:dyDescent="0.25">
      <c r="F509" s="6"/>
    </row>
    <row r="510" spans="6:6" x14ac:dyDescent="0.25">
      <c r="F510" s="6"/>
    </row>
    <row r="511" spans="6:6" x14ac:dyDescent="0.25">
      <c r="F511" s="6"/>
    </row>
    <row r="512" spans="6:6" x14ac:dyDescent="0.25">
      <c r="F512" s="6"/>
    </row>
    <row r="513" spans="6:6" x14ac:dyDescent="0.25">
      <c r="F513" s="6"/>
    </row>
    <row r="514" spans="6:6" x14ac:dyDescent="0.25">
      <c r="F514" s="6"/>
    </row>
    <row r="515" spans="6:6" x14ac:dyDescent="0.25">
      <c r="F515" s="6"/>
    </row>
    <row r="516" spans="6:6" x14ac:dyDescent="0.25">
      <c r="F516" s="6"/>
    </row>
    <row r="517" spans="6:6" x14ac:dyDescent="0.25">
      <c r="F517" s="6"/>
    </row>
    <row r="518" spans="6:6" x14ac:dyDescent="0.25">
      <c r="F518" s="6"/>
    </row>
    <row r="519" spans="6:6" x14ac:dyDescent="0.25">
      <c r="F519" s="6"/>
    </row>
    <row r="520" spans="6:6" x14ac:dyDescent="0.25">
      <c r="F520" s="6"/>
    </row>
    <row r="521" spans="6:6" x14ac:dyDescent="0.25">
      <c r="F521" s="6"/>
    </row>
    <row r="522" spans="6:6" x14ac:dyDescent="0.25">
      <c r="F522" s="6"/>
    </row>
    <row r="523" spans="6:6" x14ac:dyDescent="0.25">
      <c r="F523" s="6"/>
    </row>
    <row r="524" spans="6:6" x14ac:dyDescent="0.25">
      <c r="F524" s="6"/>
    </row>
    <row r="525" spans="6:6" x14ac:dyDescent="0.25">
      <c r="F525" s="6"/>
    </row>
    <row r="526" spans="6:6" x14ac:dyDescent="0.25">
      <c r="F526" s="6"/>
    </row>
    <row r="527" spans="6:6" x14ac:dyDescent="0.25">
      <c r="F527" s="6"/>
    </row>
    <row r="528" spans="6:6" x14ac:dyDescent="0.25">
      <c r="F528" s="6"/>
    </row>
    <row r="529" spans="6:6" x14ac:dyDescent="0.25">
      <c r="F529" s="6"/>
    </row>
    <row r="530" spans="6:6" x14ac:dyDescent="0.25">
      <c r="F530" s="6"/>
    </row>
    <row r="531" spans="6:6" x14ac:dyDescent="0.25">
      <c r="F531" s="6"/>
    </row>
    <row r="532" spans="6:6" x14ac:dyDescent="0.25">
      <c r="F532" s="6"/>
    </row>
    <row r="533" spans="6:6" x14ac:dyDescent="0.25">
      <c r="F533" s="6"/>
    </row>
    <row r="534" spans="6:6" x14ac:dyDescent="0.25">
      <c r="F534" s="6"/>
    </row>
    <row r="535" spans="6:6" x14ac:dyDescent="0.25">
      <c r="F535" s="6"/>
    </row>
    <row r="536" spans="6:6" x14ac:dyDescent="0.25">
      <c r="F536" s="6"/>
    </row>
    <row r="537" spans="6:6" x14ac:dyDescent="0.25">
      <c r="F537" s="6"/>
    </row>
    <row r="538" spans="6:6" x14ac:dyDescent="0.25">
      <c r="F538" s="6"/>
    </row>
    <row r="539" spans="6:6" x14ac:dyDescent="0.25">
      <c r="F539" s="6"/>
    </row>
    <row r="540" spans="6:6" x14ac:dyDescent="0.25">
      <c r="F540" s="6"/>
    </row>
    <row r="541" spans="6:6" x14ac:dyDescent="0.25">
      <c r="F541" s="6"/>
    </row>
    <row r="542" spans="6:6" x14ac:dyDescent="0.25">
      <c r="F542" s="6"/>
    </row>
    <row r="543" spans="6:6" x14ac:dyDescent="0.25">
      <c r="F543" s="6"/>
    </row>
    <row r="544" spans="6:6" x14ac:dyDescent="0.25">
      <c r="F544" s="6"/>
    </row>
    <row r="545" spans="6:6" x14ac:dyDescent="0.25">
      <c r="F545" s="6"/>
    </row>
    <row r="546" spans="6:6" x14ac:dyDescent="0.25">
      <c r="F546" s="6"/>
    </row>
    <row r="547" spans="6:6" x14ac:dyDescent="0.25">
      <c r="F547" s="6"/>
    </row>
    <row r="548" spans="6:6" x14ac:dyDescent="0.25">
      <c r="F548" s="6"/>
    </row>
    <row r="549" spans="6:6" x14ac:dyDescent="0.25">
      <c r="F549" s="6"/>
    </row>
    <row r="550" spans="6:6" x14ac:dyDescent="0.25">
      <c r="F550" s="6"/>
    </row>
    <row r="551" spans="6:6" x14ac:dyDescent="0.25">
      <c r="F551" s="6"/>
    </row>
    <row r="552" spans="6:6" x14ac:dyDescent="0.25">
      <c r="F552" s="6"/>
    </row>
    <row r="553" spans="6:6" x14ac:dyDescent="0.25">
      <c r="F553" s="6"/>
    </row>
    <row r="554" spans="6:6" x14ac:dyDescent="0.25">
      <c r="F554" s="6"/>
    </row>
    <row r="555" spans="6:6" x14ac:dyDescent="0.25">
      <c r="F555" s="6"/>
    </row>
    <row r="556" spans="6:6" x14ac:dyDescent="0.25">
      <c r="F556" s="6"/>
    </row>
    <row r="557" spans="6:6" x14ac:dyDescent="0.25">
      <c r="F557" s="6"/>
    </row>
    <row r="558" spans="6:6" x14ac:dyDescent="0.25">
      <c r="F558" s="6"/>
    </row>
    <row r="559" spans="6:6" x14ac:dyDescent="0.25">
      <c r="F559" s="6"/>
    </row>
    <row r="560" spans="6:6" x14ac:dyDescent="0.25">
      <c r="F560" s="6"/>
    </row>
    <row r="561" spans="6:6" x14ac:dyDescent="0.25">
      <c r="F561" s="6"/>
    </row>
    <row r="562" spans="6:6" x14ac:dyDescent="0.25">
      <c r="F562" s="6"/>
    </row>
    <row r="563" spans="6:6" x14ac:dyDescent="0.25">
      <c r="F563" s="6"/>
    </row>
    <row r="564" spans="6:6" x14ac:dyDescent="0.25">
      <c r="F564" s="6"/>
    </row>
    <row r="565" spans="6:6" x14ac:dyDescent="0.25">
      <c r="F565" s="6"/>
    </row>
    <row r="566" spans="6:6" x14ac:dyDescent="0.25">
      <c r="F566" s="6"/>
    </row>
    <row r="567" spans="6:6" x14ac:dyDescent="0.25">
      <c r="F567" s="6"/>
    </row>
    <row r="568" spans="6:6" x14ac:dyDescent="0.25">
      <c r="F568" s="6"/>
    </row>
    <row r="569" spans="6:6" x14ac:dyDescent="0.25">
      <c r="F569" s="6"/>
    </row>
    <row r="570" spans="6:6" x14ac:dyDescent="0.25">
      <c r="F570" s="6"/>
    </row>
    <row r="571" spans="6:6" x14ac:dyDescent="0.25">
      <c r="F571" s="6"/>
    </row>
    <row r="572" spans="6:6" x14ac:dyDescent="0.25">
      <c r="F572" s="6"/>
    </row>
    <row r="573" spans="6:6" x14ac:dyDescent="0.25">
      <c r="F573" s="6"/>
    </row>
    <row r="574" spans="6:6" x14ac:dyDescent="0.25">
      <c r="F574" s="6"/>
    </row>
    <row r="575" spans="6:6" x14ac:dyDescent="0.25">
      <c r="F575" s="6"/>
    </row>
    <row r="576" spans="6:6" x14ac:dyDescent="0.25">
      <c r="F576" s="6"/>
    </row>
    <row r="577" spans="6:6" x14ac:dyDescent="0.25">
      <c r="F577" s="6"/>
    </row>
    <row r="578" spans="6:6" x14ac:dyDescent="0.25">
      <c r="F578" s="6"/>
    </row>
    <row r="579" spans="6:6" x14ac:dyDescent="0.25">
      <c r="F579" s="6"/>
    </row>
    <row r="580" spans="6:6" x14ac:dyDescent="0.25">
      <c r="F580" s="6"/>
    </row>
    <row r="581" spans="6:6" x14ac:dyDescent="0.25">
      <c r="F581" s="6"/>
    </row>
    <row r="582" spans="6:6" x14ac:dyDescent="0.25">
      <c r="F582" s="6"/>
    </row>
    <row r="583" spans="6:6" x14ac:dyDescent="0.25">
      <c r="F583" s="6"/>
    </row>
    <row r="584" spans="6:6" x14ac:dyDescent="0.25">
      <c r="F584" s="6"/>
    </row>
    <row r="585" spans="6:6" x14ac:dyDescent="0.25">
      <c r="F585" s="6"/>
    </row>
    <row r="586" spans="6:6" x14ac:dyDescent="0.25">
      <c r="F586" s="6"/>
    </row>
    <row r="587" spans="6:6" x14ac:dyDescent="0.25">
      <c r="F587" s="6"/>
    </row>
    <row r="588" spans="6:6" x14ac:dyDescent="0.25">
      <c r="F588" s="6"/>
    </row>
    <row r="589" spans="6:6" x14ac:dyDescent="0.25">
      <c r="F589" s="6"/>
    </row>
    <row r="590" spans="6:6" x14ac:dyDescent="0.25">
      <c r="F590" s="6"/>
    </row>
    <row r="591" spans="6:6" x14ac:dyDescent="0.25">
      <c r="F591" s="6"/>
    </row>
    <row r="592" spans="6:6" x14ac:dyDescent="0.25">
      <c r="F592" s="6"/>
    </row>
    <row r="593" spans="6:6" x14ac:dyDescent="0.25">
      <c r="F593" s="6"/>
    </row>
    <row r="594" spans="6:6" x14ac:dyDescent="0.25">
      <c r="F594" s="6"/>
    </row>
    <row r="595" spans="6:6" x14ac:dyDescent="0.25">
      <c r="F595" s="6"/>
    </row>
    <row r="596" spans="6:6" x14ac:dyDescent="0.25">
      <c r="F596" s="6"/>
    </row>
    <row r="597" spans="6:6" x14ac:dyDescent="0.25">
      <c r="F597" s="6"/>
    </row>
    <row r="598" spans="6:6" x14ac:dyDescent="0.25">
      <c r="F598" s="6"/>
    </row>
    <row r="599" spans="6:6" x14ac:dyDescent="0.25">
      <c r="F599" s="6"/>
    </row>
    <row r="600" spans="6:6" x14ac:dyDescent="0.25">
      <c r="F600" s="6"/>
    </row>
    <row r="601" spans="6:6" x14ac:dyDescent="0.25">
      <c r="F601" s="6"/>
    </row>
    <row r="602" spans="6:6" x14ac:dyDescent="0.25">
      <c r="F602" s="6"/>
    </row>
    <row r="603" spans="6:6" x14ac:dyDescent="0.25">
      <c r="F603" s="6"/>
    </row>
    <row r="604" spans="6:6" x14ac:dyDescent="0.25">
      <c r="F604" s="6"/>
    </row>
    <row r="605" spans="6:6" x14ac:dyDescent="0.25">
      <c r="F605" s="6"/>
    </row>
    <row r="606" spans="6:6" x14ac:dyDescent="0.25">
      <c r="F606" s="6"/>
    </row>
    <row r="607" spans="6:6" x14ac:dyDescent="0.25">
      <c r="F607" s="6"/>
    </row>
    <row r="608" spans="6:6" x14ac:dyDescent="0.25">
      <c r="F608" s="6"/>
    </row>
    <row r="609" spans="6:6" x14ac:dyDescent="0.25">
      <c r="F609" s="6"/>
    </row>
    <row r="610" spans="6:6" x14ac:dyDescent="0.25">
      <c r="F610" s="6"/>
    </row>
    <row r="611" spans="6:6" x14ac:dyDescent="0.25">
      <c r="F611" s="6"/>
    </row>
    <row r="612" spans="6:6" x14ac:dyDescent="0.25">
      <c r="F612" s="6"/>
    </row>
    <row r="613" spans="6:6" x14ac:dyDescent="0.25">
      <c r="F613" s="6"/>
    </row>
    <row r="614" spans="6:6" x14ac:dyDescent="0.25">
      <c r="F614" s="6"/>
    </row>
    <row r="615" spans="6:6" x14ac:dyDescent="0.25">
      <c r="F615" s="6"/>
    </row>
    <row r="616" spans="6:6" x14ac:dyDescent="0.25">
      <c r="F616" s="6"/>
    </row>
    <row r="617" spans="6:6" x14ac:dyDescent="0.25">
      <c r="F617" s="6"/>
    </row>
    <row r="618" spans="6:6" x14ac:dyDescent="0.25">
      <c r="F618" s="6"/>
    </row>
    <row r="619" spans="6:6" x14ac:dyDescent="0.25">
      <c r="F619" s="6"/>
    </row>
    <row r="620" spans="6:6" x14ac:dyDescent="0.25">
      <c r="F620" s="6"/>
    </row>
    <row r="621" spans="6:6" x14ac:dyDescent="0.25">
      <c r="F621" s="6"/>
    </row>
    <row r="622" spans="6:6" x14ac:dyDescent="0.25">
      <c r="F622" s="6"/>
    </row>
    <row r="623" spans="6:6" x14ac:dyDescent="0.25">
      <c r="F623" s="6"/>
    </row>
    <row r="624" spans="6:6" x14ac:dyDescent="0.25">
      <c r="F624" s="6"/>
    </row>
    <row r="625" spans="6:6" x14ac:dyDescent="0.25">
      <c r="F625" s="6"/>
    </row>
    <row r="626" spans="6:6" x14ac:dyDescent="0.25">
      <c r="F626" s="6"/>
    </row>
    <row r="627" spans="6:6" x14ac:dyDescent="0.25">
      <c r="F627" s="6"/>
    </row>
    <row r="628" spans="6:6" x14ac:dyDescent="0.25">
      <c r="F628" s="6"/>
    </row>
    <row r="629" spans="6:6" x14ac:dyDescent="0.25">
      <c r="F629" s="6"/>
    </row>
    <row r="630" spans="6:6" x14ac:dyDescent="0.25">
      <c r="F630" s="6"/>
    </row>
    <row r="631" spans="6:6" x14ac:dyDescent="0.25">
      <c r="F631" s="6"/>
    </row>
    <row r="632" spans="6:6" x14ac:dyDescent="0.25">
      <c r="F632" s="6"/>
    </row>
    <row r="633" spans="6:6" x14ac:dyDescent="0.25">
      <c r="F633" s="6"/>
    </row>
    <row r="634" spans="6:6" x14ac:dyDescent="0.25">
      <c r="F634" s="6"/>
    </row>
    <row r="635" spans="6:6" x14ac:dyDescent="0.25">
      <c r="F635" s="6"/>
    </row>
    <row r="636" spans="6:6" x14ac:dyDescent="0.25">
      <c r="F636" s="6"/>
    </row>
    <row r="637" spans="6:6" x14ac:dyDescent="0.25">
      <c r="F637" s="6"/>
    </row>
    <row r="638" spans="6:6" x14ac:dyDescent="0.25">
      <c r="F638" s="6"/>
    </row>
    <row r="639" spans="6:6" x14ac:dyDescent="0.25">
      <c r="F639" s="6"/>
    </row>
    <row r="640" spans="6:6" x14ac:dyDescent="0.25">
      <c r="F640" s="6"/>
    </row>
    <row r="641" spans="6:6" x14ac:dyDescent="0.25">
      <c r="F641" s="6"/>
    </row>
    <row r="642" spans="6:6" x14ac:dyDescent="0.25">
      <c r="F642" s="6"/>
    </row>
    <row r="643" spans="6:6" x14ac:dyDescent="0.25">
      <c r="F643" s="6"/>
    </row>
    <row r="644" spans="6:6" x14ac:dyDescent="0.25">
      <c r="F644" s="6"/>
    </row>
    <row r="645" spans="6:6" x14ac:dyDescent="0.25">
      <c r="F645" s="6"/>
    </row>
    <row r="646" spans="6:6" x14ac:dyDescent="0.25">
      <c r="F646" s="6"/>
    </row>
    <row r="647" spans="6:6" x14ac:dyDescent="0.25">
      <c r="F647" s="6"/>
    </row>
    <row r="648" spans="6:6" x14ac:dyDescent="0.25">
      <c r="F648" s="6"/>
    </row>
    <row r="649" spans="6:6" x14ac:dyDescent="0.25">
      <c r="F649" s="6"/>
    </row>
    <row r="650" spans="6:6" x14ac:dyDescent="0.25">
      <c r="F650" s="6"/>
    </row>
    <row r="651" spans="6:6" x14ac:dyDescent="0.25">
      <c r="F651" s="6"/>
    </row>
    <row r="652" spans="6:6" x14ac:dyDescent="0.25">
      <c r="F652" s="6"/>
    </row>
    <row r="653" spans="6:6" x14ac:dyDescent="0.25">
      <c r="F653" s="6"/>
    </row>
    <row r="654" spans="6:6" x14ac:dyDescent="0.25">
      <c r="F654" s="6"/>
    </row>
    <row r="655" spans="6:6" x14ac:dyDescent="0.25">
      <c r="F655" s="6"/>
    </row>
    <row r="656" spans="6:6" x14ac:dyDescent="0.25">
      <c r="F656" s="6"/>
    </row>
    <row r="657" spans="6:6" x14ac:dyDescent="0.25">
      <c r="F657" s="6"/>
    </row>
    <row r="658" spans="6:6" x14ac:dyDescent="0.25">
      <c r="F658" s="6"/>
    </row>
    <row r="659" spans="6:6" x14ac:dyDescent="0.25">
      <c r="F659" s="6"/>
    </row>
    <row r="660" spans="6:6" x14ac:dyDescent="0.25">
      <c r="F660" s="6"/>
    </row>
    <row r="661" spans="6:6" x14ac:dyDescent="0.25">
      <c r="F661" s="6"/>
    </row>
    <row r="662" spans="6:6" x14ac:dyDescent="0.25">
      <c r="F662" s="6"/>
    </row>
    <row r="663" spans="6:6" x14ac:dyDescent="0.25">
      <c r="F663" s="6"/>
    </row>
    <row r="664" spans="6:6" x14ac:dyDescent="0.25">
      <c r="F664" s="6"/>
    </row>
    <row r="665" spans="6:6" x14ac:dyDescent="0.25">
      <c r="F665" s="6"/>
    </row>
    <row r="666" spans="6:6" x14ac:dyDescent="0.25">
      <c r="F666" s="6"/>
    </row>
    <row r="667" spans="6:6" x14ac:dyDescent="0.25">
      <c r="F667" s="6"/>
    </row>
    <row r="668" spans="6:6" x14ac:dyDescent="0.25">
      <c r="F668" s="6"/>
    </row>
    <row r="669" spans="6:6" x14ac:dyDescent="0.25">
      <c r="F669" s="6"/>
    </row>
    <row r="670" spans="6:6" x14ac:dyDescent="0.25">
      <c r="F670" s="6"/>
    </row>
    <row r="671" spans="6:6" x14ac:dyDescent="0.25">
      <c r="F671" s="6"/>
    </row>
    <row r="672" spans="6:6" x14ac:dyDescent="0.25">
      <c r="F672" s="6"/>
    </row>
    <row r="673" spans="6:6" x14ac:dyDescent="0.25">
      <c r="F673" s="6"/>
    </row>
    <row r="674" spans="6:6" x14ac:dyDescent="0.25">
      <c r="F674" s="6"/>
    </row>
    <row r="675" spans="6:6" x14ac:dyDescent="0.25">
      <c r="F675" s="6"/>
    </row>
    <row r="676" spans="6:6" x14ac:dyDescent="0.25">
      <c r="F676" s="6"/>
    </row>
    <row r="677" spans="6:6" x14ac:dyDescent="0.25">
      <c r="F677" s="6"/>
    </row>
    <row r="678" spans="6:6" x14ac:dyDescent="0.25">
      <c r="F678" s="6"/>
    </row>
    <row r="679" spans="6:6" x14ac:dyDescent="0.25">
      <c r="F679" s="6"/>
    </row>
    <row r="680" spans="6:6" x14ac:dyDescent="0.25">
      <c r="F680" s="6"/>
    </row>
    <row r="681" spans="6:6" x14ac:dyDescent="0.25">
      <c r="F681" s="6"/>
    </row>
    <row r="682" spans="6:6" x14ac:dyDescent="0.25">
      <c r="F682" s="6"/>
    </row>
    <row r="683" spans="6:6" x14ac:dyDescent="0.25">
      <c r="F683" s="6"/>
    </row>
    <row r="684" spans="6:6" x14ac:dyDescent="0.25">
      <c r="F684" s="6"/>
    </row>
  </sheetData>
  <sheetProtection formatCells="0" formatColumns="0" formatRows="0" insertColumns="0" insertRows="0" insertHyperlinks="0" deleteColumns="0" deleteRows="0" sort="0" autoFilter="0" pivotTables="0"/>
  <mergeCells count="11">
    <mergeCell ref="D26:D27"/>
    <mergeCell ref="D23:D24"/>
    <mergeCell ref="K5:L5"/>
    <mergeCell ref="M5:Q5"/>
    <mergeCell ref="K1:Q1"/>
    <mergeCell ref="K2:L2"/>
    <mergeCell ref="M2:Q2"/>
    <mergeCell ref="K3:L3"/>
    <mergeCell ref="M3:Q3"/>
    <mergeCell ref="K4:L4"/>
    <mergeCell ref="M4:Q4"/>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G195"/>
  <sheetViews>
    <sheetView tabSelected="1" zoomScale="90" zoomScaleNormal="90" workbookViewId="0">
      <pane xSplit="3" ySplit="5" topLeftCell="D6" activePane="bottomRight" state="frozen"/>
      <selection pane="topRight" activeCell="D1" sqref="D1"/>
      <selection pane="bottomLeft" activeCell="A6" sqref="A6"/>
      <selection pane="bottomRight" activeCell="I41" sqref="I41"/>
    </sheetView>
  </sheetViews>
  <sheetFormatPr defaultColWidth="11.7109375" defaultRowHeight="14.1" customHeight="1" x14ac:dyDescent="0.2"/>
  <cols>
    <col min="1" max="12" width="11.7109375" style="234"/>
    <col min="13" max="13" width="13.5703125" style="234" customWidth="1"/>
    <col min="14" max="32" width="11.7109375" style="234"/>
    <col min="33" max="33" width="11.7109375" style="314"/>
    <col min="34" max="16384" width="11.7109375" style="234"/>
  </cols>
  <sheetData>
    <row r="1" spans="1:59" ht="14.1" customHeight="1" x14ac:dyDescent="0.2">
      <c r="A1" s="49" t="s">
        <v>1</v>
      </c>
      <c r="B1" s="49"/>
      <c r="C1" s="51"/>
      <c r="D1" s="49"/>
      <c r="E1" s="41"/>
      <c r="F1" s="49"/>
      <c r="G1" s="48"/>
      <c r="H1" s="49"/>
      <c r="I1" s="49"/>
      <c r="J1" s="49"/>
      <c r="K1" s="49"/>
      <c r="L1" s="49"/>
      <c r="M1" s="49"/>
      <c r="N1" s="49"/>
      <c r="O1" s="49"/>
      <c r="P1" s="49"/>
      <c r="Q1" s="49"/>
      <c r="R1" s="49"/>
      <c r="S1" s="49"/>
      <c r="T1" s="49"/>
      <c r="U1" s="49"/>
      <c r="V1" s="49"/>
      <c r="W1" s="49"/>
      <c r="X1" s="51"/>
      <c r="Y1" s="48" t="s">
        <v>0</v>
      </c>
      <c r="Z1" s="48"/>
      <c r="AA1" s="48"/>
      <c r="AB1" s="48"/>
      <c r="AC1" s="49"/>
      <c r="AD1" s="49"/>
      <c r="AE1" s="49"/>
      <c r="AF1" s="49"/>
      <c r="AG1" s="40"/>
      <c r="AH1" s="51" t="s">
        <v>71</v>
      </c>
      <c r="AI1" s="55" t="s">
        <v>72</v>
      </c>
      <c r="AJ1" s="51"/>
      <c r="AK1" s="51"/>
      <c r="AL1" s="51"/>
      <c r="AM1" s="51"/>
      <c r="AN1" s="51"/>
      <c r="AO1" s="51"/>
      <c r="AP1" s="51"/>
      <c r="AQ1" s="51"/>
      <c r="AR1" s="51"/>
      <c r="AS1" s="51"/>
      <c r="AT1" s="51"/>
      <c r="AU1" s="49"/>
      <c r="AV1" s="49"/>
      <c r="AW1" s="49"/>
      <c r="AX1" s="49"/>
      <c r="AY1" s="49"/>
      <c r="AZ1" s="49"/>
      <c r="BA1" s="49"/>
      <c r="BB1" s="49"/>
      <c r="BC1" s="49"/>
      <c r="BD1" s="49"/>
      <c r="BE1" s="49"/>
      <c r="BF1" s="49"/>
      <c r="BG1" s="49"/>
    </row>
    <row r="2" spans="1:59" ht="14.1" customHeight="1" x14ac:dyDescent="0.2">
      <c r="A2" s="40"/>
      <c r="B2" s="49"/>
      <c r="C2" s="49"/>
      <c r="D2" s="49"/>
      <c r="E2" s="41"/>
      <c r="F2" s="49"/>
      <c r="G2" s="49"/>
      <c r="H2" s="49"/>
      <c r="I2" s="49"/>
      <c r="J2" s="49"/>
      <c r="K2" s="49"/>
      <c r="L2" s="424"/>
      <c r="M2" s="49"/>
      <c r="N2" s="49"/>
      <c r="O2" s="49"/>
      <c r="P2" s="49"/>
      <c r="Q2" s="57"/>
      <c r="R2" s="57"/>
      <c r="S2" s="425"/>
      <c r="T2" s="49"/>
      <c r="U2" s="49"/>
      <c r="V2" s="49"/>
      <c r="W2" s="49"/>
      <c r="X2" s="51"/>
      <c r="Y2" s="49"/>
      <c r="Z2" s="49"/>
      <c r="AA2" s="49"/>
      <c r="AB2" s="49"/>
      <c r="AC2" s="49"/>
      <c r="AD2" s="49"/>
      <c r="AE2" s="49"/>
      <c r="AF2" s="49"/>
      <c r="AG2" s="40"/>
      <c r="AH2" s="58" t="s">
        <v>73</v>
      </c>
      <c r="AI2" s="185"/>
      <c r="AJ2" s="185"/>
      <c r="AK2" s="185"/>
      <c r="AL2" s="185"/>
      <c r="AM2" s="185"/>
      <c r="AN2" s="185"/>
      <c r="AO2" s="185"/>
      <c r="AP2" s="185"/>
      <c r="AQ2" s="185"/>
      <c r="AR2" s="185"/>
      <c r="AS2" s="185"/>
      <c r="AT2" s="185"/>
      <c r="AU2" s="186"/>
      <c r="AV2" s="55"/>
      <c r="AW2" s="55"/>
      <c r="AX2" s="55"/>
      <c r="AY2" s="55"/>
      <c r="AZ2" s="55"/>
      <c r="BA2" s="55"/>
      <c r="BB2" s="55"/>
      <c r="BC2" s="55"/>
      <c r="BD2" s="55"/>
      <c r="BE2" s="55"/>
      <c r="BF2" s="55"/>
      <c r="BG2" s="55"/>
    </row>
    <row r="3" spans="1:59" ht="14.1" customHeight="1" x14ac:dyDescent="0.2">
      <c r="A3" s="55" t="s">
        <v>74</v>
      </c>
      <c r="B3" s="50"/>
      <c r="C3" s="51"/>
      <c r="D3" s="45"/>
      <c r="E3" s="50"/>
      <c r="F3" s="50"/>
      <c r="G3" s="50"/>
      <c r="H3" s="50"/>
      <c r="I3" s="50"/>
      <c r="J3" s="50"/>
      <c r="K3" s="50"/>
      <c r="L3" s="50"/>
      <c r="M3" s="50"/>
      <c r="N3" s="50"/>
      <c r="O3" s="50"/>
      <c r="P3" s="50"/>
      <c r="Q3" s="50"/>
      <c r="R3" s="50"/>
      <c r="S3" s="50"/>
      <c r="T3" s="50"/>
      <c r="U3" s="50"/>
      <c r="V3" s="50"/>
      <c r="W3" s="50"/>
      <c r="X3" s="51"/>
      <c r="Y3" s="43" t="s">
        <v>75</v>
      </c>
      <c r="Z3" s="43" t="s">
        <v>76</v>
      </c>
      <c r="AA3" s="55"/>
      <c r="AB3" s="43"/>
      <c r="AC3" s="43"/>
      <c r="AD3" s="43"/>
      <c r="AE3" s="43"/>
      <c r="AF3" s="43"/>
      <c r="AG3" s="40"/>
      <c r="AH3" s="55"/>
      <c r="AI3" s="55"/>
      <c r="AJ3" s="55"/>
      <c r="AK3" s="55"/>
      <c r="AL3" s="55"/>
      <c r="AM3" s="55"/>
      <c r="AN3" s="55"/>
      <c r="AO3" s="55"/>
      <c r="AP3" s="55"/>
      <c r="AQ3" s="55"/>
      <c r="AR3" s="55"/>
      <c r="AS3" s="55"/>
      <c r="AT3" s="55"/>
      <c r="AU3" s="55"/>
      <c r="AV3" s="55"/>
      <c r="AW3" s="55"/>
      <c r="AX3" s="55"/>
      <c r="AY3" s="55"/>
      <c r="AZ3" s="55"/>
      <c r="BA3" s="55"/>
      <c r="BB3" s="55"/>
      <c r="BC3" s="55"/>
      <c r="BD3" s="55"/>
      <c r="BE3" s="55"/>
      <c r="BF3" s="55"/>
      <c r="BG3" s="55"/>
    </row>
    <row r="4" spans="1:59" ht="14.1" customHeight="1" x14ac:dyDescent="0.2">
      <c r="A4" s="284"/>
      <c r="B4" s="44" t="s">
        <v>77</v>
      </c>
      <c r="C4" s="60"/>
      <c r="D4" s="61" t="s">
        <v>360</v>
      </c>
      <c r="E4" s="44"/>
      <c r="F4" s="44" t="s">
        <v>78</v>
      </c>
      <c r="G4" s="44" t="s">
        <v>79</v>
      </c>
      <c r="H4" s="44"/>
      <c r="I4" s="44"/>
      <c r="J4" s="44"/>
      <c r="K4" s="44"/>
      <c r="L4" s="44"/>
      <c r="M4" s="44"/>
      <c r="N4" s="44" t="s">
        <v>80</v>
      </c>
      <c r="O4" s="44"/>
      <c r="P4" s="44"/>
      <c r="Q4" s="44"/>
      <c r="R4" s="44"/>
      <c r="S4" s="44"/>
      <c r="T4" s="44"/>
      <c r="U4" s="62" t="s">
        <v>388</v>
      </c>
      <c r="V4" s="44"/>
      <c r="W4" s="63"/>
      <c r="X4" s="63" t="s">
        <v>336</v>
      </c>
      <c r="Y4" s="1" t="s">
        <v>81</v>
      </c>
      <c r="Z4" s="64">
        <v>2571</v>
      </c>
      <c r="AA4" s="64">
        <v>30013</v>
      </c>
      <c r="AB4" s="64" t="s">
        <v>2</v>
      </c>
      <c r="AC4" s="64" t="s">
        <v>3</v>
      </c>
      <c r="AD4" s="64"/>
      <c r="AE4" s="64"/>
      <c r="AF4" s="65"/>
      <c r="AG4" s="40"/>
      <c r="AH4" s="55"/>
      <c r="AI4" s="55"/>
      <c r="AJ4" s="55" t="s">
        <v>82</v>
      </c>
      <c r="AK4" s="55"/>
      <c r="AL4" s="55"/>
      <c r="AM4" s="55"/>
      <c r="AN4" s="55"/>
      <c r="AO4" s="55"/>
      <c r="AP4" s="55"/>
      <c r="AQ4" s="55"/>
      <c r="AR4" s="55"/>
      <c r="AS4" s="55"/>
      <c r="AT4" s="55"/>
      <c r="AU4" s="55" t="s">
        <v>83</v>
      </c>
      <c r="AV4" s="55"/>
      <c r="AW4" s="55"/>
      <c r="AX4" s="55"/>
      <c r="AY4" s="55"/>
      <c r="AZ4" s="55"/>
      <c r="BA4" s="55"/>
      <c r="BB4" s="55"/>
      <c r="BC4" s="55"/>
      <c r="BD4" s="55"/>
      <c r="BE4" s="55"/>
      <c r="BF4" s="55"/>
      <c r="BG4" s="55"/>
    </row>
    <row r="5" spans="1:59" ht="14.1" customHeight="1" x14ac:dyDescent="0.25">
      <c r="A5" s="285" t="s">
        <v>84</v>
      </c>
      <c r="B5" s="45" t="s">
        <v>85</v>
      </c>
      <c r="C5" s="66" t="s">
        <v>86</v>
      </c>
      <c r="D5" s="67" t="s">
        <v>35</v>
      </c>
      <c r="E5" s="45" t="s">
        <v>5</v>
      </c>
      <c r="F5" s="45" t="s">
        <v>6</v>
      </c>
      <c r="G5" s="68" t="s">
        <v>87</v>
      </c>
      <c r="H5" s="45">
        <v>6</v>
      </c>
      <c r="I5" s="45" t="s">
        <v>7</v>
      </c>
      <c r="J5" s="45">
        <v>10</v>
      </c>
      <c r="K5" s="45" t="s">
        <v>8</v>
      </c>
      <c r="L5" s="45">
        <v>15</v>
      </c>
      <c r="M5" s="45">
        <v>18</v>
      </c>
      <c r="N5" s="68" t="s">
        <v>87</v>
      </c>
      <c r="O5" s="45">
        <v>6</v>
      </c>
      <c r="P5" s="45" t="s">
        <v>7</v>
      </c>
      <c r="Q5" s="45">
        <v>10</v>
      </c>
      <c r="R5" s="45" t="s">
        <v>8</v>
      </c>
      <c r="S5" s="45">
        <v>15</v>
      </c>
      <c r="T5" s="45">
        <v>18</v>
      </c>
      <c r="U5" s="45" t="s">
        <v>9</v>
      </c>
      <c r="V5" s="45" t="s">
        <v>10</v>
      </c>
      <c r="W5" s="69" t="s">
        <v>11</v>
      </c>
      <c r="X5" s="69" t="s">
        <v>337</v>
      </c>
      <c r="Y5" s="70">
        <v>0.5</v>
      </c>
      <c r="Z5" s="71">
        <v>1.0049999999999999</v>
      </c>
      <c r="AA5" s="71">
        <v>1.002</v>
      </c>
      <c r="AB5" s="71">
        <v>1.0049999999999999</v>
      </c>
      <c r="AC5" s="71">
        <v>1.0009999999999999</v>
      </c>
      <c r="AD5" s="71"/>
      <c r="AE5" s="71"/>
      <c r="AF5" s="72"/>
      <c r="AG5" s="40"/>
      <c r="AH5" s="187" t="s">
        <v>88</v>
      </c>
      <c r="AI5" s="73"/>
      <c r="AJ5" s="73" t="s">
        <v>89</v>
      </c>
      <c r="AK5" s="73"/>
      <c r="AL5" s="73"/>
      <c r="AM5" s="73"/>
      <c r="AN5" s="73"/>
      <c r="AO5" s="73"/>
      <c r="AP5" s="73"/>
      <c r="AQ5" s="73"/>
      <c r="AR5" s="73"/>
      <c r="AS5" s="73"/>
      <c r="AT5" s="73"/>
      <c r="AU5" s="73"/>
      <c r="AV5" s="73"/>
      <c r="AW5" s="73"/>
      <c r="AX5" s="73"/>
      <c r="AY5" s="73"/>
      <c r="AZ5" s="73"/>
      <c r="BA5" s="73"/>
      <c r="BB5" s="73"/>
      <c r="BC5" s="73"/>
      <c r="BD5" s="73"/>
      <c r="BE5" s="73"/>
      <c r="BF5" s="73"/>
      <c r="BG5" s="188"/>
    </row>
    <row r="6" spans="1:59" ht="14.1" customHeight="1" x14ac:dyDescent="0.2">
      <c r="A6" s="286" t="s">
        <v>4</v>
      </c>
      <c r="B6" s="74" t="str">
        <f t="shared" ref="B6:B35" ca="1" si="0">IF(ISBLANK(C6),"---",IF(NOW()&gt;D6+(3*365),"Expired!","Current"))</f>
        <v>Current</v>
      </c>
      <c r="C6" s="261">
        <v>5447</v>
      </c>
      <c r="D6" s="262">
        <v>44246</v>
      </c>
      <c r="E6" s="261" t="s">
        <v>386</v>
      </c>
      <c r="F6" s="263">
        <v>53.64</v>
      </c>
      <c r="G6" s="264">
        <v>1.0001</v>
      </c>
      <c r="H6" s="122">
        <v>1.0027999999999999</v>
      </c>
      <c r="I6" s="122">
        <v>1.0045999999999999</v>
      </c>
      <c r="J6" s="122">
        <v>1.0042</v>
      </c>
      <c r="K6" s="122">
        <v>1.008</v>
      </c>
      <c r="L6" s="122">
        <v>1.0041500000000001</v>
      </c>
      <c r="M6" s="123">
        <v>1.0052000000000001</v>
      </c>
      <c r="N6" s="264">
        <v>1.0004999999999999</v>
      </c>
      <c r="O6" s="122">
        <v>0.99960000000000004</v>
      </c>
      <c r="P6" s="122">
        <v>0.99990000000000001</v>
      </c>
      <c r="Q6" s="122">
        <v>0.99919999999999998</v>
      </c>
      <c r="R6" s="122">
        <v>1</v>
      </c>
      <c r="S6" s="122">
        <v>0.99985000000000002</v>
      </c>
      <c r="T6" s="123">
        <v>0.99939999999999996</v>
      </c>
      <c r="U6" s="122">
        <v>-0.43609999999999999</v>
      </c>
      <c r="V6" s="122">
        <v>0.36220000000000002</v>
      </c>
      <c r="W6" s="123">
        <v>0.93500000000000005</v>
      </c>
      <c r="X6" s="123"/>
      <c r="Y6" s="70">
        <v>0.53</v>
      </c>
      <c r="Z6" s="71">
        <v>1.004</v>
      </c>
      <c r="AA6" s="71">
        <v>1.002</v>
      </c>
      <c r="AB6" s="71">
        <v>1.004</v>
      </c>
      <c r="AC6" s="71">
        <v>1.0009999999999999</v>
      </c>
      <c r="AD6" s="71"/>
      <c r="AE6" s="71"/>
      <c r="AF6" s="72"/>
      <c r="AG6" s="40"/>
      <c r="AH6" s="512" t="s">
        <v>90</v>
      </c>
      <c r="AI6" s="513"/>
      <c r="AJ6" s="189"/>
      <c r="AK6" s="190"/>
      <c r="AL6" s="190" t="s">
        <v>91</v>
      </c>
      <c r="AM6" s="190" t="s">
        <v>92</v>
      </c>
      <c r="AN6" s="190" t="s">
        <v>3</v>
      </c>
      <c r="AO6" s="190"/>
      <c r="AP6" s="190"/>
      <c r="AQ6" s="190"/>
      <c r="AR6" s="190"/>
      <c r="AS6" s="190"/>
      <c r="AT6" s="191">
        <v>31016</v>
      </c>
      <c r="AU6" s="190"/>
      <c r="AV6" s="190"/>
      <c r="AW6" s="190"/>
      <c r="AX6" s="190"/>
      <c r="AY6" s="190"/>
      <c r="AZ6" s="190">
        <v>60016</v>
      </c>
      <c r="BA6" s="190">
        <v>60017</v>
      </c>
      <c r="BB6" s="190">
        <v>60018</v>
      </c>
      <c r="BC6" s="190"/>
      <c r="BD6" s="190">
        <v>60019</v>
      </c>
      <c r="BE6" s="190"/>
      <c r="BF6" s="190"/>
      <c r="BG6" s="191"/>
    </row>
    <row r="7" spans="1:59" ht="14.1" customHeight="1" x14ac:dyDescent="0.2">
      <c r="A7" s="285"/>
      <c r="B7" s="75" t="str">
        <f t="shared" ca="1" si="0"/>
        <v>Current</v>
      </c>
      <c r="C7" s="265">
        <v>5448</v>
      </c>
      <c r="D7" s="266">
        <v>44389</v>
      </c>
      <c r="E7" s="265" t="s">
        <v>420</v>
      </c>
      <c r="F7" s="267">
        <v>53.76</v>
      </c>
      <c r="G7" s="268">
        <v>1.0001</v>
      </c>
      <c r="H7" s="130">
        <v>1.0034000000000001</v>
      </c>
      <c r="I7" s="130">
        <v>1.0045999999999999</v>
      </c>
      <c r="J7" s="130">
        <v>1.0041</v>
      </c>
      <c r="K7" s="130">
        <v>1.008</v>
      </c>
      <c r="L7" s="130">
        <v>1.0044</v>
      </c>
      <c r="M7" s="131">
        <v>1.0046999999999999</v>
      </c>
      <c r="N7" s="268">
        <v>1.0003</v>
      </c>
      <c r="O7" s="130">
        <v>0.99970000000000003</v>
      </c>
      <c r="P7" s="130">
        <v>0.99980000000000002</v>
      </c>
      <c r="Q7" s="130">
        <v>0.99919999999999998</v>
      </c>
      <c r="R7" s="130">
        <v>0.999</v>
      </c>
      <c r="S7" s="130">
        <v>0.99885000000000002</v>
      </c>
      <c r="T7" s="131">
        <v>1.0004</v>
      </c>
      <c r="U7" s="130">
        <v>-0.29320000000000002</v>
      </c>
      <c r="V7" s="130">
        <v>0.1658</v>
      </c>
      <c r="W7" s="131">
        <v>1.0005999999999999</v>
      </c>
      <c r="X7" s="131"/>
      <c r="Y7" s="70">
        <v>0.56000000000000005</v>
      </c>
      <c r="Z7" s="71">
        <v>1.002</v>
      </c>
      <c r="AA7" s="71">
        <v>1</v>
      </c>
      <c r="AB7" s="71">
        <v>1.002</v>
      </c>
      <c r="AC7" s="71">
        <v>1.0009999999999999</v>
      </c>
      <c r="AD7" s="71"/>
      <c r="AE7" s="71"/>
      <c r="AF7" s="72"/>
      <c r="AG7" s="40"/>
      <c r="AH7" s="512" t="s">
        <v>93</v>
      </c>
      <c r="AI7" s="513"/>
      <c r="AJ7" s="514" t="s">
        <v>94</v>
      </c>
      <c r="AK7" s="517" t="s">
        <v>95</v>
      </c>
      <c r="AL7" s="520" t="s">
        <v>96</v>
      </c>
      <c r="AM7" s="520" t="s">
        <v>97</v>
      </c>
      <c r="AN7" s="520" t="s">
        <v>98</v>
      </c>
      <c r="AO7" s="517" t="s">
        <v>99</v>
      </c>
      <c r="AP7" s="517" t="s">
        <v>100</v>
      </c>
      <c r="AQ7" s="517" t="s">
        <v>101</v>
      </c>
      <c r="AR7" s="517" t="s">
        <v>102</v>
      </c>
      <c r="AS7" s="517" t="s">
        <v>103</v>
      </c>
      <c r="AT7" s="532" t="s">
        <v>104</v>
      </c>
      <c r="AU7" s="514" t="s">
        <v>105</v>
      </c>
      <c r="AV7" s="517" t="s">
        <v>106</v>
      </c>
      <c r="AW7" s="517" t="s">
        <v>107</v>
      </c>
      <c r="AX7" s="517" t="s">
        <v>108</v>
      </c>
      <c r="AY7" s="517" t="s">
        <v>109</v>
      </c>
      <c r="AZ7" s="520" t="s">
        <v>110</v>
      </c>
      <c r="BA7" s="520" t="s">
        <v>111</v>
      </c>
      <c r="BB7" s="520" t="s">
        <v>112</v>
      </c>
      <c r="BC7" s="517" t="s">
        <v>113</v>
      </c>
      <c r="BD7" s="535" t="s">
        <v>114</v>
      </c>
      <c r="BE7" s="517" t="s">
        <v>115</v>
      </c>
      <c r="BF7" s="517" t="s">
        <v>116</v>
      </c>
      <c r="BG7" s="532" t="s">
        <v>117</v>
      </c>
    </row>
    <row r="8" spans="1:59" ht="14.1" customHeight="1" x14ac:dyDescent="0.2">
      <c r="A8" s="285"/>
      <c r="B8" s="75" t="str">
        <f t="shared" ca="1" si="0"/>
        <v>Current</v>
      </c>
      <c r="C8" s="265">
        <v>5449</v>
      </c>
      <c r="D8" s="266">
        <v>44250</v>
      </c>
      <c r="E8" s="265" t="s">
        <v>387</v>
      </c>
      <c r="F8" s="267">
        <v>54.02</v>
      </c>
      <c r="G8" s="268">
        <v>1.0001</v>
      </c>
      <c r="H8" s="130">
        <v>1.0028999999999999</v>
      </c>
      <c r="I8" s="130">
        <v>1.0045999999999999</v>
      </c>
      <c r="J8" s="130">
        <v>1.0041</v>
      </c>
      <c r="K8" s="130">
        <v>1.008</v>
      </c>
      <c r="L8" s="130">
        <v>1.0046999999999999</v>
      </c>
      <c r="M8" s="131">
        <v>1.0045999999999999</v>
      </c>
      <c r="N8" s="268">
        <v>1.0005999999999999</v>
      </c>
      <c r="O8" s="130">
        <v>1.0004999999999999</v>
      </c>
      <c r="P8" s="130">
        <v>1.0007999999999999</v>
      </c>
      <c r="Q8" s="130">
        <v>0.99980000000000002</v>
      </c>
      <c r="R8" s="130">
        <v>1.0004999999999999</v>
      </c>
      <c r="S8" s="130">
        <v>1.0004999999999999</v>
      </c>
      <c r="T8" s="131">
        <v>0.99939999999999996</v>
      </c>
      <c r="U8" s="130">
        <v>-0.35260000000000002</v>
      </c>
      <c r="V8" s="130">
        <v>0.2666</v>
      </c>
      <c r="W8" s="131">
        <v>0.96240000000000003</v>
      </c>
      <c r="X8" s="131"/>
      <c r="Y8" s="70">
        <v>0.59</v>
      </c>
      <c r="Z8" s="71">
        <v>1</v>
      </c>
      <c r="AA8" s="71">
        <v>0.999</v>
      </c>
      <c r="AB8" s="71">
        <v>1</v>
      </c>
      <c r="AC8" s="71">
        <v>1</v>
      </c>
      <c r="AD8" s="71"/>
      <c r="AE8" s="71"/>
      <c r="AF8" s="72"/>
      <c r="AG8" s="40"/>
      <c r="AH8" s="192" t="s">
        <v>118</v>
      </c>
      <c r="AI8" s="193" t="s">
        <v>119</v>
      </c>
      <c r="AJ8" s="515"/>
      <c r="AK8" s="518"/>
      <c r="AL8" s="521"/>
      <c r="AM8" s="521"/>
      <c r="AN8" s="521"/>
      <c r="AO8" s="518"/>
      <c r="AP8" s="518"/>
      <c r="AQ8" s="518"/>
      <c r="AR8" s="518"/>
      <c r="AS8" s="518"/>
      <c r="AT8" s="533"/>
      <c r="AU8" s="515"/>
      <c r="AV8" s="518"/>
      <c r="AW8" s="518"/>
      <c r="AX8" s="518"/>
      <c r="AY8" s="518"/>
      <c r="AZ8" s="521"/>
      <c r="BA8" s="521"/>
      <c r="BB8" s="521"/>
      <c r="BC8" s="518"/>
      <c r="BD8" s="536"/>
      <c r="BE8" s="518"/>
      <c r="BF8" s="518"/>
      <c r="BG8" s="533"/>
    </row>
    <row r="9" spans="1:59" ht="14.1" customHeight="1" x14ac:dyDescent="0.2">
      <c r="A9" s="285"/>
      <c r="B9" s="75" t="str">
        <f t="shared" ca="1" si="0"/>
        <v>Current</v>
      </c>
      <c r="C9" s="265">
        <v>5450</v>
      </c>
      <c r="D9" s="266">
        <v>44389</v>
      </c>
      <c r="E9" s="265" t="s">
        <v>421</v>
      </c>
      <c r="F9" s="269">
        <v>54.1</v>
      </c>
      <c r="G9" s="268">
        <v>1.0001</v>
      </c>
      <c r="H9" s="130">
        <v>1.0034000000000001</v>
      </c>
      <c r="I9" s="130">
        <v>1.0045999999999999</v>
      </c>
      <c r="J9" s="130">
        <v>1.0039</v>
      </c>
      <c r="K9" s="130">
        <v>1.008</v>
      </c>
      <c r="L9" s="130">
        <v>1.0043</v>
      </c>
      <c r="M9" s="131">
        <v>1.0045999999999999</v>
      </c>
      <c r="N9" s="268">
        <v>1.0004</v>
      </c>
      <c r="O9" s="130">
        <v>0.99950000000000006</v>
      </c>
      <c r="P9" s="130">
        <v>1.0004999999999999</v>
      </c>
      <c r="Q9" s="130">
        <v>0.99929999999999997</v>
      </c>
      <c r="R9" s="130">
        <v>0.99960000000000004</v>
      </c>
      <c r="S9" s="130">
        <v>0.99960000000000004</v>
      </c>
      <c r="T9" s="131">
        <v>0.99929999999999997</v>
      </c>
      <c r="U9" s="130">
        <v>-0.25590000000000002</v>
      </c>
      <c r="V9" s="130">
        <v>0.10979999999999999</v>
      </c>
      <c r="W9" s="131">
        <v>1.0204</v>
      </c>
      <c r="X9" s="131"/>
      <c r="Y9" s="70">
        <v>0.62</v>
      </c>
      <c r="Z9" s="71">
        <v>0.998</v>
      </c>
      <c r="AA9" s="71">
        <v>0.997</v>
      </c>
      <c r="AB9" s="71">
        <v>0.998</v>
      </c>
      <c r="AC9" s="71">
        <v>0.999</v>
      </c>
      <c r="AD9" s="71"/>
      <c r="AE9" s="71"/>
      <c r="AF9" s="72"/>
      <c r="AG9" s="40"/>
      <c r="AH9" s="226" t="s">
        <v>120</v>
      </c>
      <c r="AI9" s="193">
        <v>10</v>
      </c>
      <c r="AJ9" s="516"/>
      <c r="AK9" s="519"/>
      <c r="AL9" s="522"/>
      <c r="AM9" s="522"/>
      <c r="AN9" s="522"/>
      <c r="AO9" s="519"/>
      <c r="AP9" s="519"/>
      <c r="AQ9" s="519"/>
      <c r="AR9" s="519"/>
      <c r="AS9" s="519"/>
      <c r="AT9" s="534"/>
      <c r="AU9" s="516"/>
      <c r="AV9" s="519"/>
      <c r="AW9" s="519"/>
      <c r="AX9" s="519"/>
      <c r="AY9" s="519"/>
      <c r="AZ9" s="522"/>
      <c r="BA9" s="522"/>
      <c r="BB9" s="522"/>
      <c r="BC9" s="519"/>
      <c r="BD9" s="537"/>
      <c r="BE9" s="519"/>
      <c r="BF9" s="519"/>
      <c r="BG9" s="534"/>
    </row>
    <row r="10" spans="1:59" ht="14.1" customHeight="1" x14ac:dyDescent="0.2">
      <c r="A10" s="285"/>
      <c r="B10" s="75" t="str">
        <f t="shared" ca="1" si="0"/>
        <v>Current</v>
      </c>
      <c r="C10" s="270">
        <v>6153</v>
      </c>
      <c r="D10" s="266">
        <v>44470</v>
      </c>
      <c r="E10" s="265" t="s">
        <v>426</v>
      </c>
      <c r="F10" s="267">
        <v>54.19</v>
      </c>
      <c r="G10" s="268">
        <v>1.0001</v>
      </c>
      <c r="H10" s="130">
        <v>1.0032000000000001</v>
      </c>
      <c r="I10" s="130">
        <v>1.0045999999999999</v>
      </c>
      <c r="J10" s="130">
        <v>1.0038</v>
      </c>
      <c r="K10" s="130">
        <v>1.008</v>
      </c>
      <c r="L10" s="130">
        <v>1.0044</v>
      </c>
      <c r="M10" s="131">
        <v>1.0044999999999999</v>
      </c>
      <c r="N10" s="268">
        <v>1.0004999999999999</v>
      </c>
      <c r="O10" s="130">
        <v>1.0001</v>
      </c>
      <c r="P10" s="130">
        <v>0.99990000000000001</v>
      </c>
      <c r="Q10" s="130">
        <v>1</v>
      </c>
      <c r="R10" s="130">
        <v>0.99929999999999997</v>
      </c>
      <c r="S10" s="130">
        <v>0.99950000000000006</v>
      </c>
      <c r="T10" s="131">
        <v>0.99870000000000003</v>
      </c>
      <c r="U10" s="130">
        <v>-0.22289999999999999</v>
      </c>
      <c r="V10" s="130">
        <v>7.6600000000000001E-2</v>
      </c>
      <c r="W10" s="131">
        <v>1.0286</v>
      </c>
      <c r="X10" s="131"/>
      <c r="Y10" s="70">
        <v>0.65</v>
      </c>
      <c r="Z10" s="71">
        <v>0.995</v>
      </c>
      <c r="AA10" s="71">
        <v>0.99399999999999999</v>
      </c>
      <c r="AB10" s="71">
        <v>0.997</v>
      </c>
      <c r="AC10" s="71">
        <v>0.997</v>
      </c>
      <c r="AD10" s="71"/>
      <c r="AE10" s="71"/>
      <c r="AF10" s="72"/>
      <c r="AG10" s="40"/>
      <c r="AH10" s="529" t="s">
        <v>121</v>
      </c>
      <c r="AI10" s="194">
        <v>8</v>
      </c>
      <c r="AJ10" s="195">
        <v>1</v>
      </c>
      <c r="AK10" s="196">
        <v>1</v>
      </c>
      <c r="AL10" s="196">
        <v>1.002</v>
      </c>
      <c r="AM10" s="196">
        <v>1</v>
      </c>
      <c r="AN10" s="196">
        <v>1</v>
      </c>
      <c r="AO10" s="196">
        <v>1</v>
      </c>
      <c r="AP10" s="196">
        <v>1</v>
      </c>
      <c r="AQ10" s="196">
        <v>1</v>
      </c>
      <c r="AR10" s="196">
        <v>1</v>
      </c>
      <c r="AS10" s="196">
        <v>1</v>
      </c>
      <c r="AT10" s="197">
        <v>1</v>
      </c>
      <c r="AU10" s="196">
        <v>1</v>
      </c>
      <c r="AV10" s="196">
        <v>1.0049999999999999</v>
      </c>
      <c r="AW10" s="196">
        <v>1.008</v>
      </c>
      <c r="AX10" s="196">
        <v>1</v>
      </c>
      <c r="AY10" s="196">
        <v>1.0049999999999999</v>
      </c>
      <c r="AZ10" s="196">
        <v>1</v>
      </c>
      <c r="BA10" s="196">
        <v>1.004</v>
      </c>
      <c r="BB10" s="196">
        <v>1.004</v>
      </c>
      <c r="BC10" s="196">
        <v>1</v>
      </c>
      <c r="BD10" s="198">
        <v>1</v>
      </c>
      <c r="BE10" s="196">
        <v>0.997</v>
      </c>
      <c r="BF10" s="196">
        <v>1</v>
      </c>
      <c r="BG10" s="197">
        <v>1</v>
      </c>
    </row>
    <row r="11" spans="1:59" ht="14.1" customHeight="1" x14ac:dyDescent="0.2">
      <c r="A11" s="285"/>
      <c r="B11" s="75" t="str">
        <f t="shared" ca="1" si="0"/>
        <v>Current</v>
      </c>
      <c r="C11" s="265">
        <v>6154</v>
      </c>
      <c r="D11" s="266">
        <v>44473</v>
      </c>
      <c r="E11" s="265" t="s">
        <v>424</v>
      </c>
      <c r="F11" s="267">
        <v>54.25</v>
      </c>
      <c r="G11" s="268">
        <v>1.0001</v>
      </c>
      <c r="H11" s="130">
        <v>1.0032000000000001</v>
      </c>
      <c r="I11" s="130">
        <v>1.0045999999999999</v>
      </c>
      <c r="J11" s="130">
        <v>1.004</v>
      </c>
      <c r="K11" s="130">
        <v>1.008</v>
      </c>
      <c r="L11" s="130">
        <v>1.00465</v>
      </c>
      <c r="M11" s="131">
        <v>1.0046999999999999</v>
      </c>
      <c r="N11" s="268">
        <v>1.0004999999999999</v>
      </c>
      <c r="O11" s="130">
        <v>0.99919999999999998</v>
      </c>
      <c r="P11" s="130">
        <v>1</v>
      </c>
      <c r="Q11" s="130">
        <v>0.99960000000000004</v>
      </c>
      <c r="R11" s="130">
        <v>1.0002</v>
      </c>
      <c r="S11" s="130">
        <v>0.99980000000000002</v>
      </c>
      <c r="T11" s="131">
        <v>1.0001</v>
      </c>
      <c r="U11" s="130">
        <v>-0.38159999999999999</v>
      </c>
      <c r="V11" s="130">
        <v>0.28639999999999999</v>
      </c>
      <c r="W11" s="131">
        <v>0.96060000000000001</v>
      </c>
      <c r="X11" s="131"/>
      <c r="Y11" s="70">
        <v>0.68</v>
      </c>
      <c r="Z11" s="71">
        <v>0.99299999999999999</v>
      </c>
      <c r="AA11" s="71">
        <v>0.99</v>
      </c>
      <c r="AB11" s="71">
        <v>0.995</v>
      </c>
      <c r="AC11" s="71">
        <v>0.995</v>
      </c>
      <c r="AD11" s="71"/>
      <c r="AE11" s="71"/>
      <c r="AF11" s="72"/>
      <c r="AG11" s="40"/>
      <c r="AH11" s="530"/>
      <c r="AI11" s="199">
        <v>6</v>
      </c>
      <c r="AJ11" s="200">
        <v>1</v>
      </c>
      <c r="AK11" s="201">
        <v>1</v>
      </c>
      <c r="AL11" s="201">
        <v>1.004</v>
      </c>
      <c r="AM11" s="201">
        <v>1</v>
      </c>
      <c r="AN11" s="201">
        <v>1</v>
      </c>
      <c r="AO11" s="201">
        <v>1</v>
      </c>
      <c r="AP11" s="201">
        <v>1</v>
      </c>
      <c r="AQ11" s="201">
        <v>1</v>
      </c>
      <c r="AR11" s="201">
        <v>1</v>
      </c>
      <c r="AS11" s="201">
        <v>1</v>
      </c>
      <c r="AT11" s="202">
        <v>1</v>
      </c>
      <c r="AU11" s="201">
        <v>1</v>
      </c>
      <c r="AV11" s="201">
        <v>1.0089999999999999</v>
      </c>
      <c r="AW11" s="201">
        <v>1.0169999999999999</v>
      </c>
      <c r="AX11" s="201">
        <v>1</v>
      </c>
      <c r="AY11" s="201">
        <v>1.01</v>
      </c>
      <c r="AZ11" s="201">
        <v>1</v>
      </c>
      <c r="BA11" s="201">
        <v>1.0069999999999999</v>
      </c>
      <c r="BB11" s="201">
        <v>1.0069999999999999</v>
      </c>
      <c r="BC11" s="201">
        <v>1</v>
      </c>
      <c r="BD11" s="201">
        <v>1</v>
      </c>
      <c r="BE11" s="201">
        <v>0.99399999999999999</v>
      </c>
      <c r="BF11" s="201">
        <v>1</v>
      </c>
      <c r="BG11" s="202">
        <v>1</v>
      </c>
    </row>
    <row r="12" spans="1:59" ht="14.1" customHeight="1" x14ac:dyDescent="0.2">
      <c r="A12" s="285"/>
      <c r="B12" s="75" t="str">
        <f t="shared" ca="1" si="0"/>
        <v>Current</v>
      </c>
      <c r="C12" s="265">
        <v>6155</v>
      </c>
      <c r="D12" s="266">
        <v>44474</v>
      </c>
      <c r="E12" s="265" t="s">
        <v>427</v>
      </c>
      <c r="F12" s="283">
        <v>54.2</v>
      </c>
      <c r="G12" s="268">
        <v>1.0001</v>
      </c>
      <c r="H12" s="130">
        <v>1.0023</v>
      </c>
      <c r="I12" s="130">
        <v>1.0045999999999999</v>
      </c>
      <c r="J12" s="130">
        <v>1.004</v>
      </c>
      <c r="K12" s="130">
        <v>1.008</v>
      </c>
      <c r="L12" s="130">
        <v>1.0045500000000001</v>
      </c>
      <c r="M12" s="131">
        <v>1.0045999999999999</v>
      </c>
      <c r="N12" s="268">
        <v>1.0004</v>
      </c>
      <c r="O12" s="130">
        <v>1.0028999999999999</v>
      </c>
      <c r="P12" s="130">
        <v>0.99980000000000002</v>
      </c>
      <c r="Q12" s="130">
        <v>0.99870000000000003</v>
      </c>
      <c r="R12" s="130">
        <v>0.99980000000000002</v>
      </c>
      <c r="S12" s="130">
        <v>0.99975000000000003</v>
      </c>
      <c r="T12" s="131">
        <v>1.0002</v>
      </c>
      <c r="U12" s="130">
        <v>-0.20749999999999999</v>
      </c>
      <c r="V12" s="130">
        <v>5.3400000000000003E-2</v>
      </c>
      <c r="W12" s="131">
        <v>1.0367</v>
      </c>
      <c r="X12" s="131"/>
      <c r="Y12" s="70">
        <v>0.7</v>
      </c>
      <c r="Z12" s="71">
        <v>0.99099999999999999</v>
      </c>
      <c r="AA12" s="71">
        <v>0.98799999999999999</v>
      </c>
      <c r="AB12" s="71">
        <v>0.99199999999999999</v>
      </c>
      <c r="AC12" s="71">
        <v>0.99299999999999999</v>
      </c>
      <c r="AD12" s="71"/>
      <c r="AE12" s="71"/>
      <c r="AF12" s="72"/>
      <c r="AG12" s="40"/>
      <c r="AH12" s="530"/>
      <c r="AI12" s="199">
        <v>4</v>
      </c>
      <c r="AJ12" s="200">
        <v>1</v>
      </c>
      <c r="AK12" s="201">
        <v>1</v>
      </c>
      <c r="AL12" s="201">
        <v>1.0069999999999999</v>
      </c>
      <c r="AM12" s="201">
        <v>1</v>
      </c>
      <c r="AN12" s="201">
        <v>1</v>
      </c>
      <c r="AO12" s="201">
        <v>1</v>
      </c>
      <c r="AP12" s="201">
        <v>1</v>
      </c>
      <c r="AQ12" s="201">
        <v>1.0009999999999999</v>
      </c>
      <c r="AR12" s="201">
        <v>1</v>
      </c>
      <c r="AS12" s="201">
        <v>1</v>
      </c>
      <c r="AT12" s="202">
        <v>1</v>
      </c>
      <c r="AU12" s="201">
        <v>0.998</v>
      </c>
      <c r="AV12" s="201">
        <v>1.014</v>
      </c>
      <c r="AW12" s="201">
        <v>1.0249999999999999</v>
      </c>
      <c r="AX12" s="201">
        <v>1</v>
      </c>
      <c r="AY12" s="201">
        <v>1.0149999999999999</v>
      </c>
      <c r="AZ12" s="201">
        <v>0.999</v>
      </c>
      <c r="BA12" s="201">
        <v>1.01</v>
      </c>
      <c r="BB12" s="201">
        <v>1.01</v>
      </c>
      <c r="BC12" s="201">
        <v>1</v>
      </c>
      <c r="BD12" s="201">
        <v>1</v>
      </c>
      <c r="BE12" s="201">
        <v>0.99099999999999999</v>
      </c>
      <c r="BF12" s="201">
        <v>1</v>
      </c>
      <c r="BG12" s="202">
        <v>1</v>
      </c>
    </row>
    <row r="13" spans="1:59" ht="14.1" customHeight="1" x14ac:dyDescent="0.2">
      <c r="A13" s="285"/>
      <c r="B13" s="75" t="str">
        <f t="shared" ca="1" si="0"/>
        <v>Current</v>
      </c>
      <c r="C13" s="265">
        <v>6156</v>
      </c>
      <c r="D13" s="266">
        <v>44474</v>
      </c>
      <c r="E13" s="265" t="s">
        <v>425</v>
      </c>
      <c r="F13" s="267">
        <v>54.28</v>
      </c>
      <c r="G13" s="268">
        <v>1.0001</v>
      </c>
      <c r="H13" s="130">
        <v>1.0029999999999999</v>
      </c>
      <c r="I13" s="130">
        <v>1.0045999999999999</v>
      </c>
      <c r="J13" s="130">
        <v>1.004</v>
      </c>
      <c r="K13" s="130">
        <v>1.008</v>
      </c>
      <c r="L13" s="130">
        <v>1.0042</v>
      </c>
      <c r="M13" s="131">
        <v>1.0044999999999999</v>
      </c>
      <c r="N13" s="268">
        <v>1.0003</v>
      </c>
      <c r="O13" s="130">
        <v>1.0004999999999999</v>
      </c>
      <c r="P13" s="130">
        <v>0.99980000000000002</v>
      </c>
      <c r="Q13" s="130">
        <v>0.99929999999999997</v>
      </c>
      <c r="R13" s="130">
        <v>0.99929999999999997</v>
      </c>
      <c r="S13" s="130">
        <v>0.99929999999999997</v>
      </c>
      <c r="T13" s="131">
        <v>1.0009999999999999</v>
      </c>
      <c r="U13" s="130">
        <v>-0.21310000000000001</v>
      </c>
      <c r="V13" s="130">
        <v>4.7600000000000003E-2</v>
      </c>
      <c r="W13" s="131">
        <v>1.0419</v>
      </c>
      <c r="X13" s="131"/>
      <c r="Y13" s="70">
        <v>0.72</v>
      </c>
      <c r="Z13" s="71">
        <v>0.98899999999999999</v>
      </c>
      <c r="AA13" s="71">
        <v>0.98399999999999999</v>
      </c>
      <c r="AB13" s="71">
        <v>0.98899999999999999</v>
      </c>
      <c r="AC13" s="71">
        <v>0.98899999999999999</v>
      </c>
      <c r="AD13" s="71"/>
      <c r="AE13" s="71"/>
      <c r="AF13" s="72"/>
      <c r="AG13" s="40"/>
      <c r="AH13" s="530"/>
      <c r="AI13" s="199">
        <v>3</v>
      </c>
      <c r="AJ13" s="200">
        <v>1</v>
      </c>
      <c r="AK13" s="201">
        <v>1</v>
      </c>
      <c r="AL13" s="201">
        <v>1.008</v>
      </c>
      <c r="AM13" s="201">
        <v>1</v>
      </c>
      <c r="AN13" s="201">
        <v>1.0009999999999999</v>
      </c>
      <c r="AO13" s="201">
        <v>1.0009999999999999</v>
      </c>
      <c r="AP13" s="201">
        <v>1.0009999999999999</v>
      </c>
      <c r="AQ13" s="201">
        <v>1.004</v>
      </c>
      <c r="AR13" s="201">
        <v>1.0009999999999999</v>
      </c>
      <c r="AS13" s="201">
        <v>1.002</v>
      </c>
      <c r="AT13" s="202">
        <v>1.0009999999999999</v>
      </c>
      <c r="AU13" s="201">
        <v>0.995</v>
      </c>
      <c r="AV13" s="201">
        <v>1.016</v>
      </c>
      <c r="AW13" s="201">
        <v>1.0289999999999999</v>
      </c>
      <c r="AX13" s="201">
        <v>0.998</v>
      </c>
      <c r="AY13" s="201">
        <v>1.0169999999999999</v>
      </c>
      <c r="AZ13" s="201">
        <v>0.995</v>
      </c>
      <c r="BA13" s="201">
        <v>1.0109999999999999</v>
      </c>
      <c r="BB13" s="201">
        <v>1.0109999999999999</v>
      </c>
      <c r="BC13" s="201">
        <v>1</v>
      </c>
      <c r="BD13" s="201">
        <v>1</v>
      </c>
      <c r="BE13" s="201">
        <v>0.98899999999999999</v>
      </c>
      <c r="BF13" s="201">
        <v>0.999</v>
      </c>
      <c r="BG13" s="202">
        <v>1</v>
      </c>
    </row>
    <row r="14" spans="1:59" ht="14.1" customHeight="1" x14ac:dyDescent="0.2">
      <c r="A14" s="285"/>
      <c r="B14" s="75" t="str">
        <f t="shared" ca="1" si="0"/>
        <v>Current</v>
      </c>
      <c r="C14" s="265">
        <v>6157</v>
      </c>
      <c r="D14" s="266">
        <v>43494</v>
      </c>
      <c r="E14" s="265" t="s">
        <v>62</v>
      </c>
      <c r="F14" s="271">
        <v>53.93</v>
      </c>
      <c r="G14" s="268">
        <v>1.0001</v>
      </c>
      <c r="H14" s="130">
        <v>1.0031000000000001</v>
      </c>
      <c r="I14" s="130">
        <v>1.0045999999999999</v>
      </c>
      <c r="J14" s="130">
        <v>1.004</v>
      </c>
      <c r="K14" s="130">
        <v>1.008</v>
      </c>
      <c r="L14" s="130">
        <v>1.0042499999999999</v>
      </c>
      <c r="M14" s="131">
        <v>1.0044999999999999</v>
      </c>
      <c r="N14" s="268">
        <v>1.0005999999999999</v>
      </c>
      <c r="O14" s="130">
        <v>0.99950000000000006</v>
      </c>
      <c r="P14" s="130">
        <v>0.99950000000000006</v>
      </c>
      <c r="Q14" s="130">
        <v>0.999</v>
      </c>
      <c r="R14" s="130">
        <v>0.999</v>
      </c>
      <c r="S14" s="130">
        <v>0.99895</v>
      </c>
      <c r="T14" s="131">
        <v>0.99890000000000001</v>
      </c>
      <c r="U14" s="130">
        <v>-0.55000000000000004</v>
      </c>
      <c r="V14" s="130">
        <v>0.54679999999999995</v>
      </c>
      <c r="W14" s="131">
        <v>0.86680000000000001</v>
      </c>
      <c r="X14" s="131">
        <v>0.99399999999999999</v>
      </c>
      <c r="Y14" s="70">
        <v>0.74</v>
      </c>
      <c r="Z14" s="71">
        <v>0.98599999999999999</v>
      </c>
      <c r="AA14" s="71">
        <v>0.98</v>
      </c>
      <c r="AB14" s="71">
        <v>0.98499999999999999</v>
      </c>
      <c r="AC14" s="71">
        <v>0.98499999999999999</v>
      </c>
      <c r="AD14" s="71"/>
      <c r="AE14" s="71"/>
      <c r="AF14" s="72"/>
      <c r="AG14" s="40"/>
      <c r="AH14" s="530"/>
      <c r="AI14" s="199">
        <v>2.5</v>
      </c>
      <c r="AJ14" s="200">
        <v>1</v>
      </c>
      <c r="AK14" s="201">
        <v>1.0009999999999999</v>
      </c>
      <c r="AL14" s="201">
        <v>1.008</v>
      </c>
      <c r="AM14" s="201">
        <v>1</v>
      </c>
      <c r="AN14" s="201">
        <v>1.002</v>
      </c>
      <c r="AO14" s="201">
        <v>1.002</v>
      </c>
      <c r="AP14" s="201">
        <v>1.002</v>
      </c>
      <c r="AQ14" s="201">
        <v>1.0089999999999999</v>
      </c>
      <c r="AR14" s="201">
        <v>1.002</v>
      </c>
      <c r="AS14" s="201">
        <v>1.004</v>
      </c>
      <c r="AT14" s="202">
        <v>1.0009999999999999</v>
      </c>
      <c r="AU14" s="201">
        <v>0.99199999999999999</v>
      </c>
      <c r="AV14" s="201">
        <v>1.016</v>
      </c>
      <c r="AW14" s="201">
        <v>1.0309999999999999</v>
      </c>
      <c r="AX14" s="201">
        <v>0.995</v>
      </c>
      <c r="AY14" s="201">
        <v>1.0169999999999999</v>
      </c>
      <c r="AZ14" s="201">
        <v>0.99099999999999999</v>
      </c>
      <c r="BA14" s="201">
        <v>1.0109999999999999</v>
      </c>
      <c r="BB14" s="201">
        <v>1.0089999999999999</v>
      </c>
      <c r="BC14" s="201">
        <v>1</v>
      </c>
      <c r="BD14" s="201">
        <v>0.999</v>
      </c>
      <c r="BE14" s="201">
        <v>0.98799999999999999</v>
      </c>
      <c r="BF14" s="201">
        <v>0.998</v>
      </c>
      <c r="BG14" s="202">
        <v>1</v>
      </c>
    </row>
    <row r="15" spans="1:59" ht="14.1" customHeight="1" x14ac:dyDescent="0.2">
      <c r="A15" s="285"/>
      <c r="B15" s="75" t="str">
        <f t="shared" ca="1" si="0"/>
        <v>Current</v>
      </c>
      <c r="C15" s="265">
        <v>6158</v>
      </c>
      <c r="D15" s="266">
        <v>43494</v>
      </c>
      <c r="E15" s="265" t="s">
        <v>63</v>
      </c>
      <c r="F15" s="271">
        <v>53.91</v>
      </c>
      <c r="G15" s="268">
        <v>1.0001</v>
      </c>
      <c r="H15" s="130">
        <v>1.0025999999999999</v>
      </c>
      <c r="I15" s="130">
        <v>1.0045999999999999</v>
      </c>
      <c r="J15" s="130">
        <v>1.0039</v>
      </c>
      <c r="K15" s="130">
        <v>1.008</v>
      </c>
      <c r="L15" s="130">
        <v>1.0043500000000001</v>
      </c>
      <c r="M15" s="131">
        <v>1.0047999999999999</v>
      </c>
      <c r="N15" s="268">
        <v>1.0005999999999999</v>
      </c>
      <c r="O15" s="130">
        <v>1.0011000000000001</v>
      </c>
      <c r="P15" s="130">
        <v>1.0011000000000001</v>
      </c>
      <c r="Q15" s="130">
        <v>1.0004999999999999</v>
      </c>
      <c r="R15" s="130">
        <v>1.0004999999999999</v>
      </c>
      <c r="S15" s="130">
        <v>1.0001</v>
      </c>
      <c r="T15" s="131">
        <v>0.99970000000000003</v>
      </c>
      <c r="U15" s="130">
        <v>-0.49980000000000002</v>
      </c>
      <c r="V15" s="130">
        <v>0.47489999999999999</v>
      </c>
      <c r="W15" s="131">
        <v>0.89149999999999996</v>
      </c>
      <c r="X15" s="131">
        <v>0.99399999999999999</v>
      </c>
      <c r="Y15" s="70">
        <v>0.76</v>
      </c>
      <c r="Z15" s="71">
        <v>0.98199999999999998</v>
      </c>
      <c r="AA15" s="71">
        <v>0.97499999999999998</v>
      </c>
      <c r="AB15" s="71">
        <v>0.98099999999999998</v>
      </c>
      <c r="AC15" s="71">
        <v>0.98</v>
      </c>
      <c r="AD15" s="71"/>
      <c r="AE15" s="71"/>
      <c r="AF15" s="72"/>
      <c r="AG15" s="40"/>
      <c r="AH15" s="530"/>
      <c r="AI15" s="199">
        <v>2</v>
      </c>
      <c r="AJ15" s="200">
        <v>1.002</v>
      </c>
      <c r="AK15" s="201">
        <v>1.0029999999999999</v>
      </c>
      <c r="AL15" s="201">
        <v>1.0089999999999999</v>
      </c>
      <c r="AM15" s="201">
        <v>1.002</v>
      </c>
      <c r="AN15" s="201">
        <v>1.0089999999999999</v>
      </c>
      <c r="AO15" s="201">
        <v>1.0089999999999999</v>
      </c>
      <c r="AP15" s="201">
        <v>1.0089999999999999</v>
      </c>
      <c r="AQ15" s="201">
        <v>1.0229999999999999</v>
      </c>
      <c r="AR15" s="201">
        <v>1.008</v>
      </c>
      <c r="AS15" s="201">
        <v>1.0089999999999999</v>
      </c>
      <c r="AT15" s="202">
        <v>1.004</v>
      </c>
      <c r="AU15" s="201">
        <v>0.98599999999999999</v>
      </c>
      <c r="AV15" s="201">
        <v>1.0149999999999999</v>
      </c>
      <c r="AW15" s="201">
        <v>1.032</v>
      </c>
      <c r="AX15" s="201">
        <v>0.99</v>
      </c>
      <c r="AY15" s="201">
        <v>1.016</v>
      </c>
      <c r="AZ15" s="201">
        <v>0.98399999999999999</v>
      </c>
      <c r="BA15" s="201">
        <v>1.008</v>
      </c>
      <c r="BB15" s="201">
        <v>1.006</v>
      </c>
      <c r="BC15" s="201">
        <v>1</v>
      </c>
      <c r="BD15" s="201">
        <v>0.997</v>
      </c>
      <c r="BE15" s="201">
        <v>0.98799999999999999</v>
      </c>
      <c r="BF15" s="201">
        <v>0.99399999999999999</v>
      </c>
      <c r="BG15" s="202">
        <v>1</v>
      </c>
    </row>
    <row r="16" spans="1:59" ht="14.1" customHeight="1" x14ac:dyDescent="0.2">
      <c r="A16" s="285"/>
      <c r="B16" s="75" t="str">
        <f t="shared" ca="1" si="0"/>
        <v>Current</v>
      </c>
      <c r="C16" s="265">
        <v>6159</v>
      </c>
      <c r="D16" s="266">
        <v>44474</v>
      </c>
      <c r="E16" s="265" t="s">
        <v>428</v>
      </c>
      <c r="F16" s="271">
        <v>53.99</v>
      </c>
      <c r="G16" s="268">
        <v>1.0001</v>
      </c>
      <c r="H16" s="130">
        <v>1.0029999999999999</v>
      </c>
      <c r="I16" s="130">
        <v>1.0045999999999999</v>
      </c>
      <c r="J16" s="130">
        <v>1.0041</v>
      </c>
      <c r="K16" s="130">
        <v>1.008</v>
      </c>
      <c r="L16" s="130">
        <v>1.00475</v>
      </c>
      <c r="M16" s="131">
        <v>1.0044999999999999</v>
      </c>
      <c r="N16" s="268">
        <v>1.0004999999999999</v>
      </c>
      <c r="O16" s="130">
        <v>1.0007999999999999</v>
      </c>
      <c r="P16" s="130">
        <v>0.99980000000000002</v>
      </c>
      <c r="Q16" s="130">
        <v>0.99980000000000002</v>
      </c>
      <c r="R16" s="130">
        <v>0.99909999999999999</v>
      </c>
      <c r="S16" s="130">
        <v>0.99904999999999999</v>
      </c>
      <c r="T16" s="131">
        <v>1.0007999999999999</v>
      </c>
      <c r="U16" s="130">
        <v>-0.3155</v>
      </c>
      <c r="V16" s="130">
        <v>0.1973</v>
      </c>
      <c r="W16" s="131">
        <v>0.98980000000000001</v>
      </c>
      <c r="X16" s="131"/>
      <c r="Y16" s="70">
        <v>0.78</v>
      </c>
      <c r="Z16" s="71">
        <v>0.97499999999999998</v>
      </c>
      <c r="AA16" s="71">
        <v>0.96799999999999997</v>
      </c>
      <c r="AB16" s="71">
        <v>0.97299999999999998</v>
      </c>
      <c r="AC16" s="71">
        <v>0.97199999999999998</v>
      </c>
      <c r="AD16" s="71"/>
      <c r="AE16" s="71"/>
      <c r="AF16" s="72"/>
      <c r="AG16" s="40"/>
      <c r="AH16" s="530"/>
      <c r="AI16" s="199">
        <v>1.5</v>
      </c>
      <c r="AJ16" s="200">
        <v>1.01</v>
      </c>
      <c r="AK16" s="201">
        <v>1.008</v>
      </c>
      <c r="AL16" s="201">
        <v>1.0109999999999999</v>
      </c>
      <c r="AM16" s="201">
        <v>1.0089999999999999</v>
      </c>
      <c r="AN16" s="201">
        <v>1.03</v>
      </c>
      <c r="AO16" s="201">
        <v>1.03</v>
      </c>
      <c r="AP16" s="201">
        <v>1.03</v>
      </c>
      <c r="AQ16" s="102">
        <v>1.0609999999999999</v>
      </c>
      <c r="AR16" s="201">
        <v>1.0249999999999999</v>
      </c>
      <c r="AS16" s="201">
        <v>1.0229999999999999</v>
      </c>
      <c r="AT16" s="202">
        <v>1.0129999999999999</v>
      </c>
      <c r="AU16" s="201">
        <v>0.97599999999999998</v>
      </c>
      <c r="AV16" s="201">
        <v>1.012</v>
      </c>
      <c r="AW16" s="201">
        <v>1.03</v>
      </c>
      <c r="AX16" s="201">
        <v>0.97699999999999998</v>
      </c>
      <c r="AY16" s="201">
        <v>1.01</v>
      </c>
      <c r="AZ16" s="201">
        <v>0.97</v>
      </c>
      <c r="BA16" s="201">
        <v>1.002</v>
      </c>
      <c r="BB16" s="201">
        <v>0.998</v>
      </c>
      <c r="BC16" s="201">
        <v>1</v>
      </c>
      <c r="BD16" s="201">
        <v>0.99299999999999999</v>
      </c>
      <c r="BE16" s="201">
        <v>0.98699999999999999</v>
      </c>
      <c r="BF16" s="201">
        <v>0.98599999999999999</v>
      </c>
      <c r="BG16" s="202">
        <v>1</v>
      </c>
    </row>
    <row r="17" spans="1:59" ht="14.1" customHeight="1" x14ac:dyDescent="0.2">
      <c r="A17" s="285"/>
      <c r="B17" s="75" t="str">
        <f t="shared" ca="1" si="0"/>
        <v>---</v>
      </c>
      <c r="C17" s="173"/>
      <c r="D17" s="173"/>
      <c r="E17" s="173"/>
      <c r="F17" s="272"/>
      <c r="G17" s="273"/>
      <c r="H17" s="274"/>
      <c r="I17" s="274"/>
      <c r="J17" s="274"/>
      <c r="K17" s="274"/>
      <c r="L17" s="274"/>
      <c r="M17" s="275"/>
      <c r="N17" s="273"/>
      <c r="O17" s="274"/>
      <c r="P17" s="274"/>
      <c r="Q17" s="274"/>
      <c r="R17" s="274"/>
      <c r="S17" s="274"/>
      <c r="T17" s="275"/>
      <c r="U17" s="274"/>
      <c r="V17" s="274"/>
      <c r="W17" s="275"/>
      <c r="X17" s="275"/>
      <c r="Y17" s="70">
        <v>0.8</v>
      </c>
      <c r="Z17" s="71">
        <v>0.96899999999999997</v>
      </c>
      <c r="AA17" s="71">
        <v>0.96</v>
      </c>
      <c r="AB17" s="71">
        <v>0.96599999999999997</v>
      </c>
      <c r="AC17" s="71">
        <v>0.96399999999999997</v>
      </c>
      <c r="AD17" s="71"/>
      <c r="AE17" s="71"/>
      <c r="AF17" s="72"/>
      <c r="AG17" s="40"/>
      <c r="AH17" s="530"/>
      <c r="AI17" s="199">
        <v>1.2</v>
      </c>
      <c r="AJ17" s="200">
        <v>1.0269999999999999</v>
      </c>
      <c r="AK17" s="201">
        <v>1.0169999999999999</v>
      </c>
      <c r="AL17" s="201">
        <v>1.0129999999999999</v>
      </c>
      <c r="AM17" s="201">
        <v>1.022</v>
      </c>
      <c r="AN17" s="102">
        <v>1.0640000000000001</v>
      </c>
      <c r="AO17" s="102">
        <v>1.0640000000000001</v>
      </c>
      <c r="AP17" s="102">
        <v>1.0640000000000001</v>
      </c>
      <c r="AQ17" s="201" t="s">
        <v>122</v>
      </c>
      <c r="AR17" s="102">
        <v>1.0509999999999999</v>
      </c>
      <c r="AS17" s="201">
        <v>1.0409999999999999</v>
      </c>
      <c r="AT17" s="202">
        <v>1.0249999999999999</v>
      </c>
      <c r="AU17" s="201">
        <v>0.96799999999999997</v>
      </c>
      <c r="AV17" s="201">
        <v>1.008</v>
      </c>
      <c r="AW17" s="201">
        <v>1.0249999999999999</v>
      </c>
      <c r="AX17" s="201">
        <v>0.96199999999999997</v>
      </c>
      <c r="AY17" s="201">
        <v>1.0029999999999999</v>
      </c>
      <c r="AZ17" s="201">
        <v>0.95599999999999996</v>
      </c>
      <c r="BA17" s="201">
        <v>0.99399999999999999</v>
      </c>
      <c r="BB17" s="201">
        <v>0.99</v>
      </c>
      <c r="BC17" s="201">
        <v>1.0009999999999999</v>
      </c>
      <c r="BD17" s="201">
        <v>0.98899999999999999</v>
      </c>
      <c r="BE17" s="201">
        <v>0.98699999999999999</v>
      </c>
      <c r="BF17" s="201">
        <v>0.97599999999999998</v>
      </c>
      <c r="BG17" s="202">
        <v>1</v>
      </c>
    </row>
    <row r="18" spans="1:59" ht="14.1" customHeight="1" x14ac:dyDescent="0.2">
      <c r="A18" s="287"/>
      <c r="B18" s="76" t="str">
        <f t="shared" ca="1" si="0"/>
        <v>---</v>
      </c>
      <c r="C18" s="276"/>
      <c r="D18" s="276"/>
      <c r="E18" s="276"/>
      <c r="F18" s="174"/>
      <c r="G18" s="277"/>
      <c r="H18" s="278"/>
      <c r="I18" s="278"/>
      <c r="J18" s="278"/>
      <c r="K18" s="278"/>
      <c r="L18" s="278"/>
      <c r="M18" s="279"/>
      <c r="N18" s="277"/>
      <c r="O18" s="278"/>
      <c r="P18" s="278"/>
      <c r="Q18" s="278"/>
      <c r="R18" s="278"/>
      <c r="S18" s="278"/>
      <c r="T18" s="279"/>
      <c r="U18" s="278"/>
      <c r="V18" s="278"/>
      <c r="W18" s="279"/>
      <c r="X18" s="279"/>
      <c r="Y18" s="70">
        <v>0.82</v>
      </c>
      <c r="Z18" s="71">
        <v>0.96099999999999997</v>
      </c>
      <c r="AA18" s="71">
        <v>0.95199999999999996</v>
      </c>
      <c r="AB18" s="71">
        <v>0.95799999999999996</v>
      </c>
      <c r="AC18" s="71">
        <v>0.95499999999999996</v>
      </c>
      <c r="AD18" s="71"/>
      <c r="AE18" s="71"/>
      <c r="AF18" s="72"/>
      <c r="AG18" s="40"/>
      <c r="AH18" s="530"/>
      <c r="AI18" s="199">
        <v>1</v>
      </c>
      <c r="AJ18" s="203">
        <v>1.0529999999999999</v>
      </c>
      <c r="AK18" s="201">
        <v>1.0269999999999999</v>
      </c>
      <c r="AL18" s="201">
        <v>1.018</v>
      </c>
      <c r="AM18" s="201">
        <v>1.0409999999999999</v>
      </c>
      <c r="AN18" s="201" t="s">
        <v>122</v>
      </c>
      <c r="AO18" s="201" t="s">
        <v>122</v>
      </c>
      <c r="AP18" s="201" t="s">
        <v>122</v>
      </c>
      <c r="AQ18" s="201" t="s">
        <v>122</v>
      </c>
      <c r="AR18" s="102">
        <v>1.083</v>
      </c>
      <c r="AS18" s="102">
        <v>1.0589999999999999</v>
      </c>
      <c r="AT18" s="202">
        <v>1.0389999999999999</v>
      </c>
      <c r="AU18" s="201">
        <v>0.96099999999999997</v>
      </c>
      <c r="AV18" s="201">
        <v>1.004</v>
      </c>
      <c r="AW18" s="201">
        <v>1.018</v>
      </c>
      <c r="AX18" s="102">
        <v>0.94799999999999995</v>
      </c>
      <c r="AY18" s="201">
        <v>0.996</v>
      </c>
      <c r="AZ18" s="102">
        <v>0.94399999999999995</v>
      </c>
      <c r="BA18" s="201">
        <v>0.98599999999999999</v>
      </c>
      <c r="BB18" s="201">
        <v>0.98299999999999998</v>
      </c>
      <c r="BC18" s="201">
        <v>1.0029999999999999</v>
      </c>
      <c r="BD18" s="201">
        <v>0.98399999999999999</v>
      </c>
      <c r="BE18" s="201">
        <v>0.98699999999999999</v>
      </c>
      <c r="BF18" s="201">
        <v>0.96599999999999997</v>
      </c>
      <c r="BG18" s="202">
        <v>1</v>
      </c>
    </row>
    <row r="19" spans="1:59" ht="14.1" customHeight="1" x14ac:dyDescent="0.2">
      <c r="A19" s="286" t="s">
        <v>3</v>
      </c>
      <c r="B19" s="74" t="str">
        <f t="shared" ca="1" si="0"/>
        <v>Current</v>
      </c>
      <c r="C19" s="261">
        <v>14732</v>
      </c>
      <c r="D19" s="280">
        <v>43874</v>
      </c>
      <c r="E19" s="261" t="s">
        <v>331</v>
      </c>
      <c r="F19" s="281">
        <v>268.48989905754939</v>
      </c>
      <c r="G19" s="264">
        <v>1.0001</v>
      </c>
      <c r="H19" s="122">
        <v>1.0041</v>
      </c>
      <c r="I19" s="122">
        <v>1.0084</v>
      </c>
      <c r="J19" s="122">
        <v>1.0059</v>
      </c>
      <c r="K19" s="122">
        <v>1.0155000000000001</v>
      </c>
      <c r="L19" s="122">
        <v>1.00665</v>
      </c>
      <c r="M19" s="123">
        <v>1.0074000000000001</v>
      </c>
      <c r="N19" s="264">
        <v>0.99919999999999998</v>
      </c>
      <c r="O19" s="122">
        <v>0.99860000000000004</v>
      </c>
      <c r="P19" s="122">
        <v>0.99939999999999996</v>
      </c>
      <c r="Q19" s="122">
        <v>0.99850000000000005</v>
      </c>
      <c r="R19" s="122">
        <v>0.99850000000000005</v>
      </c>
      <c r="S19" s="122">
        <v>0.99845000000000006</v>
      </c>
      <c r="T19" s="123">
        <v>0.99839999999999995</v>
      </c>
      <c r="U19" s="122">
        <v>-0.52800000000000002</v>
      </c>
      <c r="V19" s="122">
        <v>0.54490000000000005</v>
      </c>
      <c r="W19" s="123">
        <v>0.86060000000000003</v>
      </c>
      <c r="X19" s="123"/>
      <c r="Y19" s="77">
        <v>0.84</v>
      </c>
      <c r="Z19" s="78">
        <v>0.94899999999999995</v>
      </c>
      <c r="AA19" s="78">
        <v>0.94</v>
      </c>
      <c r="AB19" s="78">
        <v>0.94699999999999995</v>
      </c>
      <c r="AC19" s="78">
        <v>0.94299999999999995</v>
      </c>
      <c r="AD19" s="78"/>
      <c r="AE19" s="78"/>
      <c r="AF19" s="79"/>
      <c r="AG19" s="40"/>
      <c r="AH19" s="530"/>
      <c r="AI19" s="199">
        <v>0.8</v>
      </c>
      <c r="AJ19" s="200" t="s">
        <v>122</v>
      </c>
      <c r="AK19" s="201">
        <v>1.0429999999999999</v>
      </c>
      <c r="AL19" s="201">
        <v>1.0269999999999999</v>
      </c>
      <c r="AM19" s="102">
        <v>1.0760000000000001</v>
      </c>
      <c r="AN19" s="201" t="s">
        <v>122</v>
      </c>
      <c r="AO19" s="201" t="s">
        <v>122</v>
      </c>
      <c r="AP19" s="201" t="s">
        <v>122</v>
      </c>
      <c r="AQ19" s="201" t="s">
        <v>122</v>
      </c>
      <c r="AR19" s="201" t="s">
        <v>122</v>
      </c>
      <c r="AS19" s="201" t="s">
        <v>122</v>
      </c>
      <c r="AT19" s="103">
        <v>1.0620000000000001</v>
      </c>
      <c r="AU19" s="201">
        <v>0.95199999999999996</v>
      </c>
      <c r="AV19" s="201">
        <v>0.998</v>
      </c>
      <c r="AW19" s="201">
        <v>1.0069999999999999</v>
      </c>
      <c r="AX19" s="201" t="s">
        <v>122</v>
      </c>
      <c r="AY19" s="201">
        <v>0.98499999999999999</v>
      </c>
      <c r="AZ19" s="201" t="s">
        <v>122</v>
      </c>
      <c r="BA19" s="201">
        <v>0.97599999999999998</v>
      </c>
      <c r="BB19" s="201">
        <v>0.97299999999999998</v>
      </c>
      <c r="BC19" s="201">
        <v>1.0089999999999999</v>
      </c>
      <c r="BD19" s="201">
        <v>0.97699999999999998</v>
      </c>
      <c r="BE19" s="201">
        <v>0.99</v>
      </c>
      <c r="BF19" s="201">
        <v>0.95099999999999996</v>
      </c>
      <c r="BG19" s="202">
        <v>1</v>
      </c>
    </row>
    <row r="20" spans="1:59" ht="14.1" customHeight="1" x14ac:dyDescent="0.2">
      <c r="A20" s="285"/>
      <c r="B20" s="75" t="str">
        <f t="shared" ca="1" si="0"/>
        <v>Current</v>
      </c>
      <c r="C20" s="265">
        <v>14733</v>
      </c>
      <c r="D20" s="282">
        <v>43874</v>
      </c>
      <c r="E20" s="265" t="s">
        <v>331</v>
      </c>
      <c r="F20" s="283">
        <v>268.29870275872634</v>
      </c>
      <c r="G20" s="268">
        <v>1.0001</v>
      </c>
      <c r="H20" s="130">
        <v>1.0042</v>
      </c>
      <c r="I20" s="130">
        <v>1.0084</v>
      </c>
      <c r="J20" s="130">
        <v>1.0062</v>
      </c>
      <c r="K20" s="130">
        <v>1.0155000000000001</v>
      </c>
      <c r="L20" s="130">
        <v>1.0068000000000001</v>
      </c>
      <c r="M20" s="131">
        <v>1.0074000000000001</v>
      </c>
      <c r="N20" s="268">
        <v>0.999</v>
      </c>
      <c r="O20" s="130">
        <v>0.99780000000000002</v>
      </c>
      <c r="P20" s="130">
        <v>0.99939999999999996</v>
      </c>
      <c r="Q20" s="130">
        <v>0.99670000000000003</v>
      </c>
      <c r="R20" s="130">
        <v>0.99670000000000003</v>
      </c>
      <c r="S20" s="130">
        <v>0.99685000000000001</v>
      </c>
      <c r="T20" s="131">
        <v>0.997</v>
      </c>
      <c r="U20" s="130">
        <v>-0.42409999999999998</v>
      </c>
      <c r="V20" s="130">
        <v>0.40860000000000002</v>
      </c>
      <c r="W20" s="131">
        <v>0.90449999999999997</v>
      </c>
      <c r="X20" s="131"/>
      <c r="Y20" s="51"/>
      <c r="Z20" s="51"/>
      <c r="AA20" s="51"/>
      <c r="AB20" s="51"/>
      <c r="AC20" s="51"/>
      <c r="AD20" s="51"/>
      <c r="AE20" s="51"/>
      <c r="AF20" s="51"/>
      <c r="AG20" s="40"/>
      <c r="AH20" s="530"/>
      <c r="AI20" s="199">
        <v>0.6</v>
      </c>
      <c r="AJ20" s="200" t="s">
        <v>122</v>
      </c>
      <c r="AK20" s="102">
        <v>1.071</v>
      </c>
      <c r="AL20" s="201">
        <v>1.0469999999999999</v>
      </c>
      <c r="AM20" s="201" t="s">
        <v>122</v>
      </c>
      <c r="AN20" s="201" t="s">
        <v>122</v>
      </c>
      <c r="AO20" s="201" t="s">
        <v>122</v>
      </c>
      <c r="AP20" s="201" t="s">
        <v>122</v>
      </c>
      <c r="AQ20" s="201" t="s">
        <v>122</v>
      </c>
      <c r="AR20" s="201" t="s">
        <v>122</v>
      </c>
      <c r="AS20" s="201" t="s">
        <v>122</v>
      </c>
      <c r="AT20" s="202" t="s">
        <v>122</v>
      </c>
      <c r="AU20" s="102">
        <v>0.94099999999999995</v>
      </c>
      <c r="AV20" s="201">
        <v>0.98799999999999999</v>
      </c>
      <c r="AW20" s="201">
        <v>0.99</v>
      </c>
      <c r="AX20" s="201" t="s">
        <v>122</v>
      </c>
      <c r="AY20" s="201">
        <v>0.97</v>
      </c>
      <c r="AZ20" s="201" t="s">
        <v>122</v>
      </c>
      <c r="BA20" s="201">
        <v>0.96099999999999997</v>
      </c>
      <c r="BB20" s="201">
        <v>0.96</v>
      </c>
      <c r="BC20" s="201">
        <v>1.026</v>
      </c>
      <c r="BD20" s="201">
        <v>0.96799999999999997</v>
      </c>
      <c r="BE20" s="201">
        <v>0.999</v>
      </c>
      <c r="BF20" s="201" t="s">
        <v>122</v>
      </c>
      <c r="BG20" s="202">
        <v>1</v>
      </c>
    </row>
    <row r="21" spans="1:59" ht="14.1" customHeight="1" x14ac:dyDescent="0.2">
      <c r="A21" s="285"/>
      <c r="B21" s="75" t="str">
        <f t="shared" ca="1" si="0"/>
        <v>Current</v>
      </c>
      <c r="C21" s="265">
        <v>14734</v>
      </c>
      <c r="D21" s="282">
        <v>43874</v>
      </c>
      <c r="E21" s="265" t="s">
        <v>331</v>
      </c>
      <c r="F21" s="283">
        <v>268.29791720411663</v>
      </c>
      <c r="G21" s="268">
        <v>1.0001</v>
      </c>
      <c r="H21" s="130">
        <v>1.0038</v>
      </c>
      <c r="I21" s="130">
        <v>1.0084</v>
      </c>
      <c r="J21" s="130">
        <v>1.0056</v>
      </c>
      <c r="K21" s="130">
        <v>1.0155000000000001</v>
      </c>
      <c r="L21" s="130">
        <v>1.0062500000000001</v>
      </c>
      <c r="M21" s="131">
        <v>1.0068999999999999</v>
      </c>
      <c r="N21" s="268">
        <v>0.99929999999999997</v>
      </c>
      <c r="O21" s="130">
        <v>0.99790000000000001</v>
      </c>
      <c r="P21" s="130">
        <v>0.99939999999999996</v>
      </c>
      <c r="Q21" s="130">
        <v>0.99880000000000002</v>
      </c>
      <c r="R21" s="130">
        <v>0.99880000000000002</v>
      </c>
      <c r="S21" s="130">
        <v>0.999</v>
      </c>
      <c r="T21" s="131">
        <v>0.99919999999999998</v>
      </c>
      <c r="U21" s="130">
        <v>-0.44369999999999998</v>
      </c>
      <c r="V21" s="130">
        <v>0.43009999999999998</v>
      </c>
      <c r="W21" s="131">
        <v>0.89870000000000005</v>
      </c>
      <c r="X21" s="131"/>
      <c r="Y21" s="43" t="s">
        <v>123</v>
      </c>
      <c r="Z21" s="43" t="s">
        <v>124</v>
      </c>
      <c r="AA21" s="55"/>
      <c r="AB21" s="43"/>
      <c r="AC21" s="43"/>
      <c r="AD21" s="43"/>
      <c r="AE21" s="43"/>
      <c r="AF21" s="43"/>
      <c r="AG21" s="40"/>
      <c r="AH21" s="530"/>
      <c r="AI21" s="199">
        <v>0.5</v>
      </c>
      <c r="AJ21" s="200" t="s">
        <v>122</v>
      </c>
      <c r="AK21" s="201" t="s">
        <v>122</v>
      </c>
      <c r="AL21" s="102">
        <v>1.0649999999999999</v>
      </c>
      <c r="AM21" s="201" t="s">
        <v>122</v>
      </c>
      <c r="AN21" s="201" t="s">
        <v>122</v>
      </c>
      <c r="AO21" s="201" t="s">
        <v>122</v>
      </c>
      <c r="AP21" s="201" t="s">
        <v>122</v>
      </c>
      <c r="AQ21" s="201" t="s">
        <v>122</v>
      </c>
      <c r="AR21" s="201" t="s">
        <v>122</v>
      </c>
      <c r="AS21" s="201" t="s">
        <v>122</v>
      </c>
      <c r="AT21" s="202" t="s">
        <v>122</v>
      </c>
      <c r="AU21" s="201" t="s">
        <v>122</v>
      </c>
      <c r="AV21" s="201">
        <v>0.98299999999999998</v>
      </c>
      <c r="AW21" s="201">
        <v>0.97799999999999998</v>
      </c>
      <c r="AX21" s="201" t="s">
        <v>122</v>
      </c>
      <c r="AY21" s="201">
        <v>0.96</v>
      </c>
      <c r="AZ21" s="201" t="s">
        <v>122</v>
      </c>
      <c r="BA21" s="201">
        <v>0.95199999999999996</v>
      </c>
      <c r="BB21" s="201">
        <v>0.95199999999999996</v>
      </c>
      <c r="BC21" s="201">
        <v>1.0449999999999999</v>
      </c>
      <c r="BD21" s="201">
        <v>0.96199999999999997</v>
      </c>
      <c r="BE21" s="201">
        <v>1.0109999999999999</v>
      </c>
      <c r="BF21" s="201" t="s">
        <v>122</v>
      </c>
      <c r="BG21" s="202">
        <v>1</v>
      </c>
    </row>
    <row r="22" spans="1:59" ht="14.1" customHeight="1" x14ac:dyDescent="0.2">
      <c r="A22" s="285"/>
      <c r="B22" s="75" t="str">
        <f t="shared" ca="1" si="0"/>
        <v>Current</v>
      </c>
      <c r="C22" s="265">
        <v>14735</v>
      </c>
      <c r="D22" s="282">
        <v>43874</v>
      </c>
      <c r="E22" s="265" t="s">
        <v>331</v>
      </c>
      <c r="F22" s="283">
        <v>269.0839491708316</v>
      </c>
      <c r="G22" s="268">
        <v>1.0001</v>
      </c>
      <c r="H22" s="130">
        <v>1.004</v>
      </c>
      <c r="I22" s="130">
        <v>1.0084</v>
      </c>
      <c r="J22" s="130">
        <v>1.0064</v>
      </c>
      <c r="K22" s="130">
        <v>1.0155000000000001</v>
      </c>
      <c r="L22" s="130">
        <v>1.0072999999999999</v>
      </c>
      <c r="M22" s="131">
        <v>1.0082</v>
      </c>
      <c r="N22" s="268">
        <v>0.99919999999999998</v>
      </c>
      <c r="O22" s="130">
        <v>0.99760000000000004</v>
      </c>
      <c r="P22" s="130">
        <v>0.99939999999999996</v>
      </c>
      <c r="Q22" s="130">
        <v>0.99809999999999999</v>
      </c>
      <c r="R22" s="130">
        <v>0.99809999999999999</v>
      </c>
      <c r="S22" s="130">
        <v>0.99804999999999999</v>
      </c>
      <c r="T22" s="131">
        <v>0.998</v>
      </c>
      <c r="U22" s="130">
        <v>-0.42699999999999999</v>
      </c>
      <c r="V22" s="130">
        <v>0.3926</v>
      </c>
      <c r="W22" s="131">
        <v>0.91459999999999997</v>
      </c>
      <c r="X22" s="131"/>
      <c r="Y22" s="80"/>
      <c r="Z22" s="81">
        <v>2571</v>
      </c>
      <c r="AA22" s="81">
        <v>30013</v>
      </c>
      <c r="AB22" s="81" t="s">
        <v>13</v>
      </c>
      <c r="AC22" s="81" t="s">
        <v>14</v>
      </c>
      <c r="AD22" s="81" t="s">
        <v>2</v>
      </c>
      <c r="AE22" s="81" t="s">
        <v>15</v>
      </c>
      <c r="AF22" s="82"/>
      <c r="AG22" s="40"/>
      <c r="AH22" s="531"/>
      <c r="AI22" s="204">
        <v>0.4</v>
      </c>
      <c r="AJ22" s="205" t="s">
        <v>122</v>
      </c>
      <c r="AK22" s="206" t="s">
        <v>122</v>
      </c>
      <c r="AL22" s="206" t="s">
        <v>122</v>
      </c>
      <c r="AM22" s="206" t="s">
        <v>122</v>
      </c>
      <c r="AN22" s="206" t="s">
        <v>122</v>
      </c>
      <c r="AO22" s="206" t="s">
        <v>122</v>
      </c>
      <c r="AP22" s="206" t="s">
        <v>122</v>
      </c>
      <c r="AQ22" s="206" t="s">
        <v>122</v>
      </c>
      <c r="AR22" s="206" t="s">
        <v>122</v>
      </c>
      <c r="AS22" s="206" t="s">
        <v>122</v>
      </c>
      <c r="AT22" s="207" t="s">
        <v>122</v>
      </c>
      <c r="AU22" s="206" t="s">
        <v>122</v>
      </c>
      <c r="AV22" s="206">
        <v>0.97599999999999998</v>
      </c>
      <c r="AW22" s="206">
        <v>0.96299999999999997</v>
      </c>
      <c r="AX22" s="206" t="s">
        <v>122</v>
      </c>
      <c r="AY22" s="104">
        <v>0.94899999999999995</v>
      </c>
      <c r="AZ22" s="206" t="s">
        <v>122</v>
      </c>
      <c r="BA22" s="104">
        <v>0.94099999999999995</v>
      </c>
      <c r="BB22" s="104">
        <v>0.94299999999999995</v>
      </c>
      <c r="BC22" s="104">
        <v>1.079</v>
      </c>
      <c r="BD22" s="206">
        <v>0.95499999999999996</v>
      </c>
      <c r="BE22" s="206">
        <v>1.0329999999999999</v>
      </c>
      <c r="BF22" s="206" t="s">
        <v>122</v>
      </c>
      <c r="BG22" s="207">
        <v>1</v>
      </c>
    </row>
    <row r="23" spans="1:59" ht="14.1" customHeight="1" x14ac:dyDescent="0.2">
      <c r="A23" s="83"/>
      <c r="B23" s="75" t="str">
        <f t="shared" ca="1" si="0"/>
        <v>Current</v>
      </c>
      <c r="C23" s="265">
        <v>14736</v>
      </c>
      <c r="D23" s="282">
        <v>43874</v>
      </c>
      <c r="E23" s="265" t="s">
        <v>331</v>
      </c>
      <c r="F23" s="283">
        <v>269.53828254662608</v>
      </c>
      <c r="G23" s="268">
        <v>1.0001</v>
      </c>
      <c r="H23" s="130">
        <v>1.0036</v>
      </c>
      <c r="I23" s="130">
        <v>1.0084</v>
      </c>
      <c r="J23" s="130">
        <v>1.0053000000000001</v>
      </c>
      <c r="K23" s="130">
        <v>1.0155000000000001</v>
      </c>
      <c r="L23" s="130">
        <v>1.0061</v>
      </c>
      <c r="M23" s="131">
        <v>1.0068999999999999</v>
      </c>
      <c r="N23" s="268">
        <v>0.99960000000000004</v>
      </c>
      <c r="O23" s="130">
        <v>0.99750000000000005</v>
      </c>
      <c r="P23" s="130">
        <v>0.99939999999999996</v>
      </c>
      <c r="Q23" s="130">
        <v>0.998</v>
      </c>
      <c r="R23" s="130">
        <v>0.998</v>
      </c>
      <c r="S23" s="130">
        <v>0.99804999999999999</v>
      </c>
      <c r="T23" s="131">
        <v>0.99809999999999999</v>
      </c>
      <c r="U23" s="130">
        <v>-0.42730000000000001</v>
      </c>
      <c r="V23" s="130">
        <v>0.4083</v>
      </c>
      <c r="W23" s="131">
        <v>0.90580000000000005</v>
      </c>
      <c r="X23" s="131"/>
      <c r="Y23" s="84" t="s">
        <v>125</v>
      </c>
      <c r="Z23" s="85" t="s">
        <v>16</v>
      </c>
      <c r="AA23" s="85" t="s">
        <v>16</v>
      </c>
      <c r="AB23" s="85" t="s">
        <v>17</v>
      </c>
      <c r="AC23" s="85" t="s">
        <v>17</v>
      </c>
      <c r="AD23" s="85" t="s">
        <v>16</v>
      </c>
      <c r="AE23" s="85" t="s">
        <v>17</v>
      </c>
      <c r="AF23" s="86"/>
      <c r="AG23" s="40"/>
      <c r="AH23" s="208"/>
      <c r="AI23" s="209"/>
      <c r="AJ23" s="210"/>
      <c r="AK23" s="210"/>
      <c r="AL23" s="210"/>
      <c r="AM23" s="210"/>
      <c r="AN23" s="210"/>
      <c r="AO23" s="210"/>
      <c r="AP23" s="210"/>
      <c r="AQ23" s="210"/>
      <c r="AR23" s="210"/>
      <c r="AS23" s="210"/>
      <c r="AT23" s="210"/>
      <c r="AU23" s="210"/>
      <c r="AV23" s="210"/>
      <c r="AW23" s="210"/>
      <c r="AX23" s="210"/>
      <c r="AY23" s="210"/>
      <c r="AZ23" s="210"/>
      <c r="BA23" s="210"/>
      <c r="BB23" s="210"/>
      <c r="BC23" s="210"/>
      <c r="BD23" s="210"/>
      <c r="BE23" s="210"/>
      <c r="BF23" s="210"/>
      <c r="BG23" s="210"/>
    </row>
    <row r="24" spans="1:59" ht="14.1" customHeight="1" x14ac:dyDescent="0.25">
      <c r="A24" s="83"/>
      <c r="B24" s="75" t="str">
        <f t="shared" ca="1" si="0"/>
        <v>Current</v>
      </c>
      <c r="C24" s="265">
        <v>14737</v>
      </c>
      <c r="D24" s="282">
        <v>43874</v>
      </c>
      <c r="E24" s="265" t="s">
        <v>331</v>
      </c>
      <c r="F24" s="283">
        <v>268.12766891723544</v>
      </c>
      <c r="G24" s="268">
        <v>1.0001</v>
      </c>
      <c r="H24" s="130">
        <v>1.0035000000000001</v>
      </c>
      <c r="I24" s="130">
        <v>1.0084</v>
      </c>
      <c r="J24" s="130">
        <v>1.006</v>
      </c>
      <c r="K24" s="130">
        <v>1.0155000000000001</v>
      </c>
      <c r="L24" s="130">
        <v>1.0068999999999999</v>
      </c>
      <c r="M24" s="131">
        <v>1.0078</v>
      </c>
      <c r="N24" s="268">
        <v>0.99980000000000002</v>
      </c>
      <c r="O24" s="130">
        <v>0.99809999999999999</v>
      </c>
      <c r="P24" s="130">
        <v>0.99939999999999996</v>
      </c>
      <c r="Q24" s="130">
        <v>0.99770000000000003</v>
      </c>
      <c r="R24" s="130">
        <v>0.99770000000000003</v>
      </c>
      <c r="S24" s="130">
        <v>0.99809999999999999</v>
      </c>
      <c r="T24" s="131">
        <v>0.99850000000000005</v>
      </c>
      <c r="U24" s="130">
        <v>-0.62390000000000001</v>
      </c>
      <c r="V24" s="130">
        <v>0.67300000000000004</v>
      </c>
      <c r="W24" s="131">
        <v>0.81879999999999997</v>
      </c>
      <c r="X24" s="131"/>
      <c r="Y24" s="87">
        <v>1</v>
      </c>
      <c r="Z24" s="71" t="s">
        <v>18</v>
      </c>
      <c r="AA24" s="71" t="s">
        <v>18</v>
      </c>
      <c r="AB24" s="71">
        <v>0.96499999999999997</v>
      </c>
      <c r="AC24" s="71" t="s">
        <v>18</v>
      </c>
      <c r="AD24" s="71" t="s">
        <v>18</v>
      </c>
      <c r="AE24" s="71">
        <v>0.95199999999999996</v>
      </c>
      <c r="AF24" s="72"/>
      <c r="AG24" s="40"/>
      <c r="AH24" s="187" t="s">
        <v>126</v>
      </c>
      <c r="AI24" s="73"/>
      <c r="AJ24" s="211" t="s">
        <v>127</v>
      </c>
      <c r="AK24" s="73"/>
      <c r="AL24" s="73"/>
      <c r="AM24" s="73"/>
      <c r="AN24" s="73"/>
      <c r="AO24" s="73"/>
      <c r="AP24" s="73"/>
      <c r="AQ24" s="73"/>
      <c r="AR24" s="73"/>
      <c r="AS24" s="73"/>
      <c r="AT24" s="73"/>
      <c r="AU24" s="73"/>
      <c r="AV24" s="73"/>
      <c r="AW24" s="73"/>
      <c r="AX24" s="73"/>
      <c r="AY24" s="73"/>
      <c r="AZ24" s="73"/>
      <c r="BA24" s="73"/>
      <c r="BB24" s="73"/>
      <c r="BC24" s="73"/>
      <c r="BD24" s="73"/>
      <c r="BE24" s="73"/>
      <c r="BF24" s="73"/>
      <c r="BG24" s="188"/>
    </row>
    <row r="25" spans="1:59" ht="14.1" customHeight="1" x14ac:dyDescent="0.2">
      <c r="A25" s="83"/>
      <c r="B25" s="75" t="str">
        <f t="shared" ca="1" si="0"/>
        <v>Current</v>
      </c>
      <c r="C25" s="265">
        <v>14738</v>
      </c>
      <c r="D25" s="282">
        <v>43874</v>
      </c>
      <c r="E25" s="265" t="s">
        <v>331</v>
      </c>
      <c r="F25" s="283">
        <v>268.52917047403025</v>
      </c>
      <c r="G25" s="268">
        <v>1.0001</v>
      </c>
      <c r="H25" s="130">
        <v>1.0037</v>
      </c>
      <c r="I25" s="130">
        <v>1.0084</v>
      </c>
      <c r="J25" s="130">
        <v>1.0052000000000001</v>
      </c>
      <c r="K25" s="130">
        <v>1.0155000000000001</v>
      </c>
      <c r="L25" s="130">
        <v>1.0059</v>
      </c>
      <c r="M25" s="131">
        <v>1.0065999999999999</v>
      </c>
      <c r="N25" s="268">
        <v>0.99939999999999996</v>
      </c>
      <c r="O25" s="130">
        <v>0.998</v>
      </c>
      <c r="P25" s="130">
        <v>0.99939999999999996</v>
      </c>
      <c r="Q25" s="130">
        <v>0.998</v>
      </c>
      <c r="R25" s="130">
        <v>0.998</v>
      </c>
      <c r="S25" s="130">
        <v>0.99849999999999994</v>
      </c>
      <c r="T25" s="131">
        <v>0.999</v>
      </c>
      <c r="U25" s="130">
        <v>-0.56289999999999996</v>
      </c>
      <c r="V25" s="130">
        <v>0.58730000000000004</v>
      </c>
      <c r="W25" s="131">
        <v>0.84770000000000001</v>
      </c>
      <c r="X25" s="131"/>
      <c r="Y25" s="87">
        <v>1.4</v>
      </c>
      <c r="Z25" s="71" t="s">
        <v>18</v>
      </c>
      <c r="AA25" s="71" t="s">
        <v>18</v>
      </c>
      <c r="AB25" s="71">
        <v>0.95499999999999996</v>
      </c>
      <c r="AC25" s="71" t="s">
        <v>18</v>
      </c>
      <c r="AD25" s="71" t="s">
        <v>18</v>
      </c>
      <c r="AE25" s="71">
        <v>0.94199999999999995</v>
      </c>
      <c r="AF25" s="72"/>
      <c r="AG25" s="40"/>
      <c r="AH25" s="512" t="s">
        <v>90</v>
      </c>
      <c r="AI25" s="513"/>
      <c r="AJ25" s="212" t="str">
        <f t="shared" ref="AJ25:BG25" si="1">IF(AJ$6="","",AJ$6)</f>
        <v/>
      </c>
      <c r="AK25" s="213" t="str">
        <f t="shared" si="1"/>
        <v/>
      </c>
      <c r="AL25" s="213" t="str">
        <f t="shared" si="1"/>
        <v>CC01</v>
      </c>
      <c r="AM25" s="213" t="str">
        <f t="shared" si="1"/>
        <v>CC04</v>
      </c>
      <c r="AN25" s="213" t="str">
        <f t="shared" si="1"/>
        <v>CC13</v>
      </c>
      <c r="AO25" s="213" t="str">
        <f t="shared" si="1"/>
        <v/>
      </c>
      <c r="AP25" s="213" t="str">
        <f t="shared" si="1"/>
        <v/>
      </c>
      <c r="AQ25" s="213" t="str">
        <f t="shared" si="1"/>
        <v/>
      </c>
      <c r="AR25" s="213" t="str">
        <f t="shared" si="1"/>
        <v/>
      </c>
      <c r="AS25" s="213" t="str">
        <f t="shared" si="1"/>
        <v/>
      </c>
      <c r="AT25" s="214">
        <f t="shared" si="1"/>
        <v>31016</v>
      </c>
      <c r="AU25" s="213" t="str">
        <f t="shared" si="1"/>
        <v/>
      </c>
      <c r="AV25" s="213" t="str">
        <f t="shared" si="1"/>
        <v/>
      </c>
      <c r="AW25" s="213" t="str">
        <f t="shared" si="1"/>
        <v/>
      </c>
      <c r="AX25" s="213" t="str">
        <f t="shared" si="1"/>
        <v/>
      </c>
      <c r="AY25" s="213" t="str">
        <f t="shared" si="1"/>
        <v/>
      </c>
      <c r="AZ25" s="213">
        <f t="shared" si="1"/>
        <v>60016</v>
      </c>
      <c r="BA25" s="213">
        <f t="shared" si="1"/>
        <v>60017</v>
      </c>
      <c r="BB25" s="213">
        <f t="shared" si="1"/>
        <v>60018</v>
      </c>
      <c r="BC25" s="213" t="str">
        <f t="shared" si="1"/>
        <v/>
      </c>
      <c r="BD25" s="213">
        <f t="shared" si="1"/>
        <v>60019</v>
      </c>
      <c r="BE25" s="213" t="str">
        <f t="shared" si="1"/>
        <v/>
      </c>
      <c r="BF25" s="213" t="str">
        <f t="shared" si="1"/>
        <v/>
      </c>
      <c r="BG25" s="214" t="str">
        <f t="shared" si="1"/>
        <v/>
      </c>
    </row>
    <row r="26" spans="1:59" ht="14.1" customHeight="1" x14ac:dyDescent="0.2">
      <c r="A26" s="83"/>
      <c r="B26" s="75" t="str">
        <f t="shared" ca="1" si="0"/>
        <v>Current</v>
      </c>
      <c r="C26" s="265">
        <v>14741</v>
      </c>
      <c r="D26" s="282">
        <v>43874</v>
      </c>
      <c r="E26" s="265" t="s">
        <v>331</v>
      </c>
      <c r="F26" s="283">
        <v>269.08228861023605</v>
      </c>
      <c r="G26" s="268">
        <v>1.0001</v>
      </c>
      <c r="H26" s="130">
        <v>1.0041</v>
      </c>
      <c r="I26" s="130">
        <v>1.0084</v>
      </c>
      <c r="J26" s="130">
        <v>1.0059</v>
      </c>
      <c r="K26" s="130">
        <v>1.0155000000000001</v>
      </c>
      <c r="L26" s="130">
        <v>1.0064500000000001</v>
      </c>
      <c r="M26" s="131">
        <v>1.0069999999999999</v>
      </c>
      <c r="N26" s="268">
        <v>0.99960000000000004</v>
      </c>
      <c r="O26" s="130">
        <v>0.99829999999999997</v>
      </c>
      <c r="P26" s="130">
        <v>0.99939999999999996</v>
      </c>
      <c r="Q26" s="130">
        <v>0.99860000000000004</v>
      </c>
      <c r="R26" s="130">
        <v>0.99860000000000004</v>
      </c>
      <c r="S26" s="130">
        <v>0.99875000000000003</v>
      </c>
      <c r="T26" s="131">
        <v>0.99890000000000001</v>
      </c>
      <c r="U26" s="130">
        <v>-0.40329999999999999</v>
      </c>
      <c r="V26" s="130">
        <v>0.36830000000000002</v>
      </c>
      <c r="W26" s="131">
        <v>0.92069999999999996</v>
      </c>
      <c r="X26" s="131"/>
      <c r="Y26" s="87">
        <v>2</v>
      </c>
      <c r="Z26" s="71" t="s">
        <v>18</v>
      </c>
      <c r="AA26" s="71" t="s">
        <v>18</v>
      </c>
      <c r="AB26" s="71">
        <v>0.94399999999999995</v>
      </c>
      <c r="AC26" s="71">
        <v>0.92500000000000004</v>
      </c>
      <c r="AD26" s="71" t="s">
        <v>18</v>
      </c>
      <c r="AE26" s="71">
        <v>0.93100000000000005</v>
      </c>
      <c r="AF26" s="72"/>
      <c r="AG26" s="40"/>
      <c r="AH26" s="512" t="s">
        <v>93</v>
      </c>
      <c r="AI26" s="513"/>
      <c r="AJ26" s="514" t="s">
        <v>94</v>
      </c>
      <c r="AK26" s="517" t="s">
        <v>95</v>
      </c>
      <c r="AL26" s="520" t="s">
        <v>96</v>
      </c>
      <c r="AM26" s="520" t="s">
        <v>97</v>
      </c>
      <c r="AN26" s="520" t="s">
        <v>98</v>
      </c>
      <c r="AO26" s="517" t="s">
        <v>99</v>
      </c>
      <c r="AP26" s="517" t="s">
        <v>100</v>
      </c>
      <c r="AQ26" s="517" t="s">
        <v>101</v>
      </c>
      <c r="AR26" s="517" t="s">
        <v>102</v>
      </c>
      <c r="AS26" s="517" t="s">
        <v>103</v>
      </c>
      <c r="AT26" s="532" t="s">
        <v>104</v>
      </c>
      <c r="AU26" s="514" t="s">
        <v>105</v>
      </c>
      <c r="AV26" s="517" t="s">
        <v>106</v>
      </c>
      <c r="AW26" s="517" t="s">
        <v>107</v>
      </c>
      <c r="AX26" s="517" t="s">
        <v>108</v>
      </c>
      <c r="AY26" s="517" t="s">
        <v>109</v>
      </c>
      <c r="AZ26" s="520" t="s">
        <v>110</v>
      </c>
      <c r="BA26" s="520" t="s">
        <v>111</v>
      </c>
      <c r="BB26" s="520" t="s">
        <v>112</v>
      </c>
      <c r="BC26" s="517" t="s">
        <v>113</v>
      </c>
      <c r="BD26" s="535" t="s">
        <v>114</v>
      </c>
      <c r="BE26" s="517" t="s">
        <v>115</v>
      </c>
      <c r="BF26" s="517" t="s">
        <v>116</v>
      </c>
      <c r="BG26" s="532" t="s">
        <v>117</v>
      </c>
    </row>
    <row r="27" spans="1:59" ht="14.1" customHeight="1" x14ac:dyDescent="0.2">
      <c r="A27" s="83"/>
      <c r="B27" s="75" t="str">
        <f t="shared" ca="1" si="0"/>
        <v>Current</v>
      </c>
      <c r="C27" s="416">
        <v>14698</v>
      </c>
      <c r="D27" s="282">
        <v>44116</v>
      </c>
      <c r="E27" s="173" t="s">
        <v>358</v>
      </c>
      <c r="F27" s="283">
        <v>269.64999999999998</v>
      </c>
      <c r="G27" s="268">
        <v>1.0001</v>
      </c>
      <c r="H27" s="130">
        <v>1.0032000000000001</v>
      </c>
      <c r="I27" s="130">
        <v>1.0084</v>
      </c>
      <c r="J27" s="130">
        <v>1.0056</v>
      </c>
      <c r="K27" s="130">
        <v>1.0155000000000001</v>
      </c>
      <c r="L27" s="130">
        <v>1.0062</v>
      </c>
      <c r="M27" s="131">
        <v>1.0067999999999999</v>
      </c>
      <c r="N27" s="268">
        <v>0.99919999999999998</v>
      </c>
      <c r="O27" s="130">
        <v>0.99970000000000003</v>
      </c>
      <c r="P27" s="130">
        <v>0.99939999999999996</v>
      </c>
      <c r="Q27" s="130">
        <v>0.99929999999999997</v>
      </c>
      <c r="R27" s="130">
        <v>0.99929999999999997</v>
      </c>
      <c r="S27" s="375">
        <v>0.99875000000000003</v>
      </c>
      <c r="T27" s="131">
        <v>0.99819999999999998</v>
      </c>
      <c r="U27" s="130">
        <v>-0.39079999999999998</v>
      </c>
      <c r="V27" s="130">
        <v>0.33400000000000002</v>
      </c>
      <c r="W27" s="131">
        <v>0.93620000000000003</v>
      </c>
      <c r="X27" s="131"/>
      <c r="Y27" s="87">
        <v>2.5</v>
      </c>
      <c r="Z27" s="71" t="s">
        <v>18</v>
      </c>
      <c r="AA27" s="71" t="s">
        <v>18</v>
      </c>
      <c r="AB27" s="71">
        <v>0.93700000000000006</v>
      </c>
      <c r="AC27" s="71">
        <v>0.92</v>
      </c>
      <c r="AD27" s="71" t="s">
        <v>18</v>
      </c>
      <c r="AE27" s="71">
        <v>0.92400000000000004</v>
      </c>
      <c r="AF27" s="72"/>
      <c r="AG27" s="40"/>
      <c r="AH27" s="192" t="s">
        <v>128</v>
      </c>
      <c r="AI27" s="193" t="s">
        <v>119</v>
      </c>
      <c r="AJ27" s="515"/>
      <c r="AK27" s="518"/>
      <c r="AL27" s="521"/>
      <c r="AM27" s="521"/>
      <c r="AN27" s="521"/>
      <c r="AO27" s="518"/>
      <c r="AP27" s="518"/>
      <c r="AQ27" s="518"/>
      <c r="AR27" s="518"/>
      <c r="AS27" s="518"/>
      <c r="AT27" s="533"/>
      <c r="AU27" s="515"/>
      <c r="AV27" s="518"/>
      <c r="AW27" s="518"/>
      <c r="AX27" s="518"/>
      <c r="AY27" s="518"/>
      <c r="AZ27" s="521"/>
      <c r="BA27" s="521"/>
      <c r="BB27" s="521"/>
      <c r="BC27" s="518"/>
      <c r="BD27" s="536"/>
      <c r="BE27" s="518"/>
      <c r="BF27" s="518"/>
      <c r="BG27" s="533"/>
    </row>
    <row r="28" spans="1:59" ht="14.1" customHeight="1" x14ac:dyDescent="0.2">
      <c r="A28" s="83"/>
      <c r="B28" s="75" t="str">
        <f t="shared" ca="1" si="0"/>
        <v>Current</v>
      </c>
      <c r="C28" s="416">
        <v>17865</v>
      </c>
      <c r="D28" s="282">
        <v>44116</v>
      </c>
      <c r="E28" s="173" t="s">
        <v>359</v>
      </c>
      <c r="F28" s="283">
        <v>274.05</v>
      </c>
      <c r="G28" s="268">
        <v>1.0001</v>
      </c>
      <c r="H28" s="130">
        <v>1.0032000000000001</v>
      </c>
      <c r="I28" s="130">
        <v>1.0084</v>
      </c>
      <c r="J28" s="130">
        <v>1.0057</v>
      </c>
      <c r="K28" s="130">
        <v>1.0155000000000001</v>
      </c>
      <c r="L28" s="130">
        <v>1.0063</v>
      </c>
      <c r="M28" s="130">
        <v>1.0068999999999999</v>
      </c>
      <c r="N28" s="354">
        <v>0.99960000000000004</v>
      </c>
      <c r="O28" s="130">
        <v>1.0008999999999999</v>
      </c>
      <c r="P28" s="130">
        <v>0.99939999999999996</v>
      </c>
      <c r="Q28" s="130">
        <v>1.0002</v>
      </c>
      <c r="R28" s="130">
        <v>0.99929999999999997</v>
      </c>
      <c r="S28" s="375">
        <v>0.99990000000000001</v>
      </c>
      <c r="T28" s="131">
        <v>0.99960000000000004</v>
      </c>
      <c r="U28" s="130">
        <v>-0.3896</v>
      </c>
      <c r="V28" s="375">
        <v>0.32779999999999998</v>
      </c>
      <c r="W28" s="161">
        <v>0.93930000000000002</v>
      </c>
      <c r="X28" s="131"/>
      <c r="Y28" s="87">
        <v>3</v>
      </c>
      <c r="Z28" s="71" t="s">
        <v>18</v>
      </c>
      <c r="AA28" s="71" t="s">
        <v>18</v>
      </c>
      <c r="AB28" s="71">
        <v>0.93100000000000005</v>
      </c>
      <c r="AC28" s="71">
        <v>0.91600000000000004</v>
      </c>
      <c r="AD28" s="71" t="s">
        <v>18</v>
      </c>
      <c r="AE28" s="71">
        <v>0.91800000000000004</v>
      </c>
      <c r="AF28" s="72"/>
      <c r="AG28" s="40"/>
      <c r="AH28" s="226" t="s">
        <v>120</v>
      </c>
      <c r="AI28" s="193">
        <v>10</v>
      </c>
      <c r="AJ28" s="516"/>
      <c r="AK28" s="519"/>
      <c r="AL28" s="522"/>
      <c r="AM28" s="522"/>
      <c r="AN28" s="522"/>
      <c r="AO28" s="519"/>
      <c r="AP28" s="519"/>
      <c r="AQ28" s="519"/>
      <c r="AR28" s="519"/>
      <c r="AS28" s="519"/>
      <c r="AT28" s="534"/>
      <c r="AU28" s="516"/>
      <c r="AV28" s="519"/>
      <c r="AW28" s="519"/>
      <c r="AX28" s="519"/>
      <c r="AY28" s="519"/>
      <c r="AZ28" s="522"/>
      <c r="BA28" s="522"/>
      <c r="BB28" s="522"/>
      <c r="BC28" s="519"/>
      <c r="BD28" s="537"/>
      <c r="BE28" s="519"/>
      <c r="BF28" s="519"/>
      <c r="BG28" s="534"/>
    </row>
    <row r="29" spans="1:59" ht="14.1" customHeight="1" x14ac:dyDescent="0.2">
      <c r="A29" s="83"/>
      <c r="B29" s="75" t="str">
        <f t="shared" ca="1" si="0"/>
        <v>Expired!</v>
      </c>
      <c r="C29" s="416">
        <v>18280</v>
      </c>
      <c r="D29" s="282"/>
      <c r="E29" s="173"/>
      <c r="F29" s="283"/>
      <c r="G29" s="268"/>
      <c r="H29" s="130"/>
      <c r="I29" s="130"/>
      <c r="J29" s="130"/>
      <c r="K29" s="130"/>
      <c r="L29" s="130"/>
      <c r="M29" s="131"/>
      <c r="N29" s="268"/>
      <c r="O29" s="130"/>
      <c r="P29" s="130"/>
      <c r="Q29" s="130"/>
      <c r="R29" s="130"/>
      <c r="S29" s="375"/>
      <c r="T29" s="131"/>
      <c r="U29" s="130"/>
      <c r="V29" s="130"/>
      <c r="W29" s="131"/>
      <c r="X29" s="275"/>
      <c r="Y29" s="87">
        <v>3.5</v>
      </c>
      <c r="Z29" s="71" t="s">
        <v>18</v>
      </c>
      <c r="AA29" s="71" t="s">
        <v>18</v>
      </c>
      <c r="AB29" s="71">
        <v>0.92500000000000004</v>
      </c>
      <c r="AC29" s="71">
        <v>0.91300000000000003</v>
      </c>
      <c r="AD29" s="71" t="s">
        <v>18</v>
      </c>
      <c r="AE29" s="71">
        <v>0.91200000000000003</v>
      </c>
      <c r="AF29" s="72"/>
      <c r="AG29" s="40"/>
      <c r="AH29" s="529" t="s">
        <v>121</v>
      </c>
      <c r="AI29" s="194">
        <v>8</v>
      </c>
      <c r="AJ29" s="195">
        <v>1</v>
      </c>
      <c r="AK29" s="196">
        <v>1</v>
      </c>
      <c r="AL29" s="196">
        <v>1.0009999999999999</v>
      </c>
      <c r="AM29" s="196">
        <v>1</v>
      </c>
      <c r="AN29" s="196">
        <v>1</v>
      </c>
      <c r="AO29" s="196">
        <v>1</v>
      </c>
      <c r="AP29" s="196">
        <v>1</v>
      </c>
      <c r="AQ29" s="196">
        <v>1</v>
      </c>
      <c r="AR29" s="196">
        <v>1</v>
      </c>
      <c r="AS29" s="196">
        <v>1</v>
      </c>
      <c r="AT29" s="197">
        <v>1</v>
      </c>
      <c r="AU29" s="196">
        <v>1</v>
      </c>
      <c r="AV29" s="196">
        <v>1.0029999999999999</v>
      </c>
      <c r="AW29" s="196">
        <v>1.0049999999999999</v>
      </c>
      <c r="AX29" s="196">
        <v>1</v>
      </c>
      <c r="AY29" s="196">
        <v>1.0029999999999999</v>
      </c>
      <c r="AZ29" s="196">
        <v>1</v>
      </c>
      <c r="BA29" s="196">
        <v>1.002</v>
      </c>
      <c r="BB29" s="196">
        <v>1.002</v>
      </c>
      <c r="BC29" s="196">
        <v>1</v>
      </c>
      <c r="BD29" s="198">
        <v>1</v>
      </c>
      <c r="BE29" s="196">
        <v>0.998</v>
      </c>
      <c r="BF29" s="196">
        <v>1</v>
      </c>
      <c r="BG29" s="197">
        <v>1</v>
      </c>
    </row>
    <row r="30" spans="1:59" ht="14.1" customHeight="1" x14ac:dyDescent="0.2">
      <c r="A30" s="83"/>
      <c r="B30" s="75" t="str">
        <f t="shared" ca="1" si="0"/>
        <v>Expired!</v>
      </c>
      <c r="C30" s="416">
        <v>18284</v>
      </c>
      <c r="D30" s="282"/>
      <c r="E30" s="173"/>
      <c r="F30" s="283"/>
      <c r="G30" s="268"/>
      <c r="H30" s="130"/>
      <c r="I30" s="130"/>
      <c r="J30" s="130"/>
      <c r="K30" s="130"/>
      <c r="L30" s="130"/>
      <c r="M30" s="130"/>
      <c r="N30" s="354"/>
      <c r="O30" s="130"/>
      <c r="P30" s="130"/>
      <c r="Q30" s="130"/>
      <c r="R30" s="130"/>
      <c r="S30" s="375"/>
      <c r="T30" s="131"/>
      <c r="U30" s="130"/>
      <c r="V30" s="375"/>
      <c r="W30" s="161"/>
      <c r="X30" s="275"/>
      <c r="Y30" s="87">
        <v>4</v>
      </c>
      <c r="Z30" s="71">
        <v>0.91800000000000004</v>
      </c>
      <c r="AA30" s="71">
        <v>0.91100000000000003</v>
      </c>
      <c r="AB30" s="71">
        <v>0.92</v>
      </c>
      <c r="AC30" s="71">
        <v>0.91</v>
      </c>
      <c r="AD30" s="71">
        <v>0.92</v>
      </c>
      <c r="AE30" s="71">
        <v>0.90800000000000003</v>
      </c>
      <c r="AF30" s="72"/>
      <c r="AG30" s="40"/>
      <c r="AH30" s="530"/>
      <c r="AI30" s="199">
        <v>6</v>
      </c>
      <c r="AJ30" s="200">
        <v>1</v>
      </c>
      <c r="AK30" s="201">
        <v>1</v>
      </c>
      <c r="AL30" s="201">
        <v>1.0029999999999999</v>
      </c>
      <c r="AM30" s="201">
        <v>1</v>
      </c>
      <c r="AN30" s="201">
        <v>1</v>
      </c>
      <c r="AO30" s="201">
        <v>1</v>
      </c>
      <c r="AP30" s="201">
        <v>1</v>
      </c>
      <c r="AQ30" s="201">
        <v>1</v>
      </c>
      <c r="AR30" s="201">
        <v>1</v>
      </c>
      <c r="AS30" s="201">
        <v>1</v>
      </c>
      <c r="AT30" s="202">
        <v>1</v>
      </c>
      <c r="AU30" s="201">
        <v>1</v>
      </c>
      <c r="AV30" s="201">
        <v>1.0049999999999999</v>
      </c>
      <c r="AW30" s="201">
        <v>1.01</v>
      </c>
      <c r="AX30" s="201">
        <v>1</v>
      </c>
      <c r="AY30" s="201">
        <v>1.006</v>
      </c>
      <c r="AZ30" s="201">
        <v>1</v>
      </c>
      <c r="BA30" s="201">
        <v>1.004</v>
      </c>
      <c r="BB30" s="201">
        <v>1.004</v>
      </c>
      <c r="BC30" s="201">
        <v>1</v>
      </c>
      <c r="BD30" s="201">
        <v>1</v>
      </c>
      <c r="BE30" s="201">
        <v>0.996</v>
      </c>
      <c r="BF30" s="201">
        <v>1</v>
      </c>
      <c r="BG30" s="202">
        <v>1</v>
      </c>
    </row>
    <row r="31" spans="1:59" ht="14.1" customHeight="1" x14ac:dyDescent="0.2">
      <c r="A31" s="66"/>
      <c r="B31" s="75" t="str">
        <f t="shared" ca="1" si="0"/>
        <v>Expired!</v>
      </c>
      <c r="C31" s="402">
        <v>18644</v>
      </c>
      <c r="D31" s="172"/>
      <c r="E31" s="333"/>
      <c r="F31" s="272"/>
      <c r="G31" s="273"/>
      <c r="H31" s="461"/>
      <c r="I31" s="274"/>
      <c r="J31" s="274"/>
      <c r="K31" s="274"/>
      <c r="L31" s="274"/>
      <c r="M31" s="275"/>
      <c r="N31" s="273"/>
      <c r="O31" s="461"/>
      <c r="P31" s="274"/>
      <c r="Q31" s="274"/>
      <c r="R31" s="274"/>
      <c r="S31" s="274"/>
      <c r="T31" s="275"/>
      <c r="U31" s="461"/>
      <c r="V31" s="274"/>
      <c r="W31" s="275"/>
      <c r="X31" s="273"/>
      <c r="Y31" s="457">
        <v>4.5</v>
      </c>
      <c r="Z31" s="71">
        <v>0.91600000000000004</v>
      </c>
      <c r="AA31" s="71">
        <v>0.90900000000000003</v>
      </c>
      <c r="AB31" s="71">
        <v>0.91600000000000004</v>
      </c>
      <c r="AC31" s="71">
        <v>0.90700000000000003</v>
      </c>
      <c r="AD31" s="71">
        <v>0.91800000000000004</v>
      </c>
      <c r="AE31" s="71">
        <v>0.90300000000000002</v>
      </c>
      <c r="AF31" s="72"/>
      <c r="AG31" s="40"/>
      <c r="AH31" s="530"/>
      <c r="AI31" s="199">
        <v>4</v>
      </c>
      <c r="AJ31" s="200">
        <v>1</v>
      </c>
      <c r="AK31" s="201">
        <v>1</v>
      </c>
      <c r="AL31" s="201">
        <v>1.004</v>
      </c>
      <c r="AM31" s="201">
        <v>1</v>
      </c>
      <c r="AN31" s="201">
        <v>1</v>
      </c>
      <c r="AO31" s="201">
        <v>1</v>
      </c>
      <c r="AP31" s="201">
        <v>1</v>
      </c>
      <c r="AQ31" s="201">
        <v>1.0009999999999999</v>
      </c>
      <c r="AR31" s="201">
        <v>1</v>
      </c>
      <c r="AS31" s="201">
        <v>1</v>
      </c>
      <c r="AT31" s="202">
        <v>1</v>
      </c>
      <c r="AU31" s="201">
        <v>0.998</v>
      </c>
      <c r="AV31" s="201">
        <v>1.008</v>
      </c>
      <c r="AW31" s="201">
        <v>1.0149999999999999</v>
      </c>
      <c r="AX31" s="201">
        <v>1</v>
      </c>
      <c r="AY31" s="201">
        <v>1.0089999999999999</v>
      </c>
      <c r="AZ31" s="201">
        <v>0.999</v>
      </c>
      <c r="BA31" s="201">
        <v>1.006</v>
      </c>
      <c r="BB31" s="201">
        <v>1.006</v>
      </c>
      <c r="BC31" s="201">
        <v>1</v>
      </c>
      <c r="BD31" s="201">
        <v>1</v>
      </c>
      <c r="BE31" s="201">
        <v>0.99399999999999999</v>
      </c>
      <c r="BF31" s="201">
        <v>1</v>
      </c>
      <c r="BG31" s="202">
        <v>1</v>
      </c>
    </row>
    <row r="32" spans="1:59" ht="14.1" customHeight="1" x14ac:dyDescent="0.2">
      <c r="A32" s="66"/>
      <c r="B32" s="75" t="str">
        <f t="shared" ca="1" si="0"/>
        <v>Expired!</v>
      </c>
      <c r="C32" s="338">
        <v>18645</v>
      </c>
      <c r="D32" s="458"/>
      <c r="E32" s="392"/>
      <c r="F32" s="459"/>
      <c r="G32" s="460"/>
      <c r="H32" s="168"/>
      <c r="I32" s="169"/>
      <c r="J32" s="169"/>
      <c r="K32" s="169"/>
      <c r="L32" s="169"/>
      <c r="M32" s="170"/>
      <c r="N32" s="460"/>
      <c r="O32" s="168"/>
      <c r="P32" s="169"/>
      <c r="Q32" s="169"/>
      <c r="R32" s="169"/>
      <c r="S32" s="169"/>
      <c r="T32" s="170"/>
      <c r="U32" s="168"/>
      <c r="V32" s="169"/>
      <c r="W32" s="170"/>
      <c r="X32" s="460"/>
      <c r="Y32" s="457">
        <v>5</v>
      </c>
      <c r="Z32" s="71">
        <v>0.91500000000000004</v>
      </c>
      <c r="AA32" s="71">
        <v>0.90700000000000003</v>
      </c>
      <c r="AB32" s="71">
        <v>0.91200000000000003</v>
      </c>
      <c r="AC32" s="71">
        <v>0.90400000000000003</v>
      </c>
      <c r="AD32" s="71">
        <v>0.91600000000000004</v>
      </c>
      <c r="AE32" s="71">
        <v>0.89900000000000002</v>
      </c>
      <c r="AF32" s="72"/>
      <c r="AG32" s="40"/>
      <c r="AH32" s="530"/>
      <c r="AI32" s="199">
        <v>3</v>
      </c>
      <c r="AJ32" s="200">
        <v>1</v>
      </c>
      <c r="AK32" s="201">
        <v>1</v>
      </c>
      <c r="AL32" s="201">
        <v>1.0049999999999999</v>
      </c>
      <c r="AM32" s="201">
        <v>1</v>
      </c>
      <c r="AN32" s="201">
        <v>1.0009999999999999</v>
      </c>
      <c r="AO32" s="201">
        <v>1.0009999999999999</v>
      </c>
      <c r="AP32" s="201">
        <v>1.0009999999999999</v>
      </c>
      <c r="AQ32" s="201">
        <v>1.004</v>
      </c>
      <c r="AR32" s="201">
        <v>1.0009999999999999</v>
      </c>
      <c r="AS32" s="201">
        <v>1.002</v>
      </c>
      <c r="AT32" s="202">
        <v>1.0009999999999999</v>
      </c>
      <c r="AU32" s="201">
        <v>0.995</v>
      </c>
      <c r="AV32" s="201">
        <v>1.0089999999999999</v>
      </c>
      <c r="AW32" s="201">
        <v>1.018</v>
      </c>
      <c r="AX32" s="201">
        <v>0.998</v>
      </c>
      <c r="AY32" s="201">
        <v>1.01</v>
      </c>
      <c r="AZ32" s="201">
        <v>0.995</v>
      </c>
      <c r="BA32" s="201">
        <v>1.006</v>
      </c>
      <c r="BB32" s="201">
        <v>1.006</v>
      </c>
      <c r="BC32" s="201">
        <v>1</v>
      </c>
      <c r="BD32" s="201">
        <v>1</v>
      </c>
      <c r="BE32" s="201">
        <v>0.99399999999999999</v>
      </c>
      <c r="BF32" s="201">
        <v>0.999</v>
      </c>
      <c r="BG32" s="202">
        <v>1</v>
      </c>
    </row>
    <row r="33" spans="1:59" ht="14.1" customHeight="1" x14ac:dyDescent="0.2">
      <c r="A33" s="89" t="s">
        <v>129</v>
      </c>
      <c r="B33" s="74" t="str">
        <f t="shared" ref="B33:B34" ca="1" si="2">IF(ISBLANK(C33),"---",IF(NOW()&gt;D33+(3*365),"Expired!","Current"))</f>
        <v>Expired!</v>
      </c>
      <c r="C33" s="261">
        <v>14478</v>
      </c>
      <c r="D33" s="280">
        <v>42549</v>
      </c>
      <c r="E33" s="261" t="s">
        <v>33</v>
      </c>
      <c r="F33" s="281"/>
      <c r="G33" s="264"/>
      <c r="H33" s="122"/>
      <c r="I33" s="122"/>
      <c r="J33" s="122"/>
      <c r="K33" s="122"/>
      <c r="L33" s="122"/>
      <c r="M33" s="123"/>
      <c r="N33" s="264"/>
      <c r="O33" s="122"/>
      <c r="P33" s="122"/>
      <c r="Q33" s="122"/>
      <c r="R33" s="122"/>
      <c r="S33" s="122"/>
      <c r="T33" s="123"/>
      <c r="U33" s="122"/>
      <c r="V33" s="122"/>
      <c r="W33" s="123"/>
      <c r="X33" s="123"/>
      <c r="Y33" s="87">
        <v>5.5</v>
      </c>
      <c r="Z33" s="71">
        <v>0.91300000000000003</v>
      </c>
      <c r="AA33" s="71">
        <v>0.90600000000000003</v>
      </c>
      <c r="AB33" s="71">
        <v>0.90800000000000003</v>
      </c>
      <c r="AC33" s="71">
        <v>0.90100000000000002</v>
      </c>
      <c r="AD33" s="71">
        <v>0.91400000000000003</v>
      </c>
      <c r="AE33" s="71">
        <v>0.89500000000000002</v>
      </c>
      <c r="AF33" s="72"/>
      <c r="AG33" s="40"/>
      <c r="AH33" s="530"/>
      <c r="AI33" s="199">
        <v>2.5</v>
      </c>
      <c r="AJ33" s="200">
        <v>1</v>
      </c>
      <c r="AK33" s="201">
        <v>1.0009999999999999</v>
      </c>
      <c r="AL33" s="201">
        <v>1.0049999999999999</v>
      </c>
      <c r="AM33" s="201">
        <v>1</v>
      </c>
      <c r="AN33" s="201">
        <v>1.002</v>
      </c>
      <c r="AO33" s="201">
        <v>1.002</v>
      </c>
      <c r="AP33" s="201">
        <v>1.002</v>
      </c>
      <c r="AQ33" s="201">
        <v>1.0089999999999999</v>
      </c>
      <c r="AR33" s="201">
        <v>1.002</v>
      </c>
      <c r="AS33" s="201">
        <v>1.004</v>
      </c>
      <c r="AT33" s="202">
        <v>1.0009999999999999</v>
      </c>
      <c r="AU33" s="201">
        <v>0.99199999999999999</v>
      </c>
      <c r="AV33" s="201">
        <v>1.0089999999999999</v>
      </c>
      <c r="AW33" s="201">
        <v>1.018</v>
      </c>
      <c r="AX33" s="201">
        <v>0.995</v>
      </c>
      <c r="AY33" s="201">
        <v>1.01</v>
      </c>
      <c r="AZ33" s="201">
        <v>0.99099999999999999</v>
      </c>
      <c r="BA33" s="201">
        <v>1.0049999999999999</v>
      </c>
      <c r="BB33" s="201">
        <v>1.004</v>
      </c>
      <c r="BC33" s="201">
        <v>1</v>
      </c>
      <c r="BD33" s="201">
        <v>0.999</v>
      </c>
      <c r="BE33" s="201">
        <v>0.99299999999999999</v>
      </c>
      <c r="BF33" s="201">
        <v>0.998</v>
      </c>
      <c r="BG33" s="202">
        <v>1</v>
      </c>
    </row>
    <row r="34" spans="1:59" ht="14.1" customHeight="1" x14ac:dyDescent="0.2">
      <c r="A34" s="83"/>
      <c r="B34" s="75" t="str">
        <f t="shared" ca="1" si="2"/>
        <v>Expired!</v>
      </c>
      <c r="C34" s="265">
        <v>14756</v>
      </c>
      <c r="D34" s="282">
        <v>42542</v>
      </c>
      <c r="E34" s="381" t="s">
        <v>34</v>
      </c>
      <c r="F34" s="333"/>
      <c r="G34" s="273"/>
      <c r="H34" s="274"/>
      <c r="I34" s="274"/>
      <c r="J34" s="274"/>
      <c r="K34" s="274"/>
      <c r="L34" s="274"/>
      <c r="M34" s="275"/>
      <c r="N34" s="273"/>
      <c r="O34" s="274"/>
      <c r="P34" s="274"/>
      <c r="Q34" s="274"/>
      <c r="R34" s="274"/>
      <c r="S34" s="274"/>
      <c r="T34" s="275"/>
      <c r="U34" s="274"/>
      <c r="V34" s="274"/>
      <c r="W34" s="275"/>
      <c r="X34" s="275"/>
      <c r="Y34" s="87">
        <v>6</v>
      </c>
      <c r="Z34" s="71">
        <v>0.91100000000000003</v>
      </c>
      <c r="AA34" s="71">
        <v>0.90400000000000003</v>
      </c>
      <c r="AB34" s="71">
        <v>0.90400000000000003</v>
      </c>
      <c r="AC34" s="71">
        <v>0.89900000000000002</v>
      </c>
      <c r="AD34" s="71">
        <v>0.91300000000000003</v>
      </c>
      <c r="AE34" s="71">
        <v>0.89200000000000002</v>
      </c>
      <c r="AF34" s="72"/>
      <c r="AG34" s="40"/>
      <c r="AH34" s="530"/>
      <c r="AI34" s="199">
        <v>2</v>
      </c>
      <c r="AJ34" s="200">
        <v>1.002</v>
      </c>
      <c r="AK34" s="201">
        <v>1.0029999999999999</v>
      </c>
      <c r="AL34" s="201">
        <v>1.006</v>
      </c>
      <c r="AM34" s="201">
        <v>1.002</v>
      </c>
      <c r="AN34" s="201">
        <v>1.0089999999999999</v>
      </c>
      <c r="AO34" s="201">
        <v>1.0089999999999999</v>
      </c>
      <c r="AP34" s="201">
        <v>1.0089999999999999</v>
      </c>
      <c r="AQ34" s="201">
        <v>1.0229999999999999</v>
      </c>
      <c r="AR34" s="201">
        <v>1.008</v>
      </c>
      <c r="AS34" s="201">
        <v>1.0089999999999999</v>
      </c>
      <c r="AT34" s="202">
        <v>1.004</v>
      </c>
      <c r="AU34" s="201">
        <v>0.98599999999999999</v>
      </c>
      <c r="AV34" s="201">
        <v>1.008</v>
      </c>
      <c r="AW34" s="201">
        <v>1.018</v>
      </c>
      <c r="AX34" s="201">
        <v>0.99</v>
      </c>
      <c r="AY34" s="201">
        <v>1.008</v>
      </c>
      <c r="AZ34" s="201">
        <v>0.98399999999999999</v>
      </c>
      <c r="BA34" s="201">
        <v>1.0029999999999999</v>
      </c>
      <c r="BB34" s="201">
        <v>1</v>
      </c>
      <c r="BC34" s="201">
        <v>1</v>
      </c>
      <c r="BD34" s="201">
        <v>0.997</v>
      </c>
      <c r="BE34" s="201">
        <v>0.99299999999999999</v>
      </c>
      <c r="BF34" s="201">
        <v>0.99399999999999999</v>
      </c>
      <c r="BG34" s="202">
        <v>1</v>
      </c>
    </row>
    <row r="35" spans="1:59" ht="14.1" customHeight="1" x14ac:dyDescent="0.2">
      <c r="A35" s="90"/>
      <c r="B35" s="76" t="str">
        <f t="shared" ca="1" si="0"/>
        <v>---</v>
      </c>
      <c r="C35" s="173"/>
      <c r="D35" s="173"/>
      <c r="E35" s="173"/>
      <c r="F35" s="174"/>
      <c r="G35" s="277"/>
      <c r="H35" s="278"/>
      <c r="I35" s="278"/>
      <c r="J35" s="278"/>
      <c r="K35" s="278"/>
      <c r="L35" s="278"/>
      <c r="M35" s="279"/>
      <c r="N35" s="277"/>
      <c r="O35" s="278"/>
      <c r="P35" s="278"/>
      <c r="Q35" s="278"/>
      <c r="R35" s="278"/>
      <c r="S35" s="278"/>
      <c r="T35" s="279"/>
      <c r="U35" s="274"/>
      <c r="V35" s="274"/>
      <c r="W35" s="275"/>
      <c r="X35" s="275"/>
      <c r="Y35" s="87">
        <v>7</v>
      </c>
      <c r="Z35" s="71">
        <v>0.90900000000000003</v>
      </c>
      <c r="AA35" s="71">
        <v>0.90100000000000002</v>
      </c>
      <c r="AB35" s="71">
        <v>0.89800000000000002</v>
      </c>
      <c r="AC35" s="71">
        <v>0.89400000000000002</v>
      </c>
      <c r="AD35" s="71">
        <v>0.91</v>
      </c>
      <c r="AE35" s="71">
        <v>0.88600000000000001</v>
      </c>
      <c r="AF35" s="72"/>
      <c r="AG35" s="42"/>
      <c r="AH35" s="530"/>
      <c r="AI35" s="199">
        <v>1.5</v>
      </c>
      <c r="AJ35" s="200">
        <v>1.01</v>
      </c>
      <c r="AK35" s="201">
        <v>1.008</v>
      </c>
      <c r="AL35" s="201">
        <v>1.0069999999999999</v>
      </c>
      <c r="AM35" s="201">
        <v>1.0089999999999999</v>
      </c>
      <c r="AN35" s="201">
        <v>1.03</v>
      </c>
      <c r="AO35" s="201">
        <v>1.03</v>
      </c>
      <c r="AP35" s="201">
        <v>1.03</v>
      </c>
      <c r="AQ35" s="102">
        <v>1.0609999999999999</v>
      </c>
      <c r="AR35" s="201">
        <v>1.0249999999999999</v>
      </c>
      <c r="AS35" s="201">
        <v>1.0229999999999999</v>
      </c>
      <c r="AT35" s="202">
        <v>1.0129999999999999</v>
      </c>
      <c r="AU35" s="201">
        <v>0.97599999999999998</v>
      </c>
      <c r="AV35" s="201">
        <v>1.0049999999999999</v>
      </c>
      <c r="AW35" s="201">
        <v>1.0149999999999999</v>
      </c>
      <c r="AX35" s="201">
        <v>0.97699999999999998</v>
      </c>
      <c r="AY35" s="201">
        <v>1.002</v>
      </c>
      <c r="AZ35" s="201">
        <v>0.97</v>
      </c>
      <c r="BA35" s="201">
        <v>0.996</v>
      </c>
      <c r="BB35" s="201">
        <v>0.99199999999999999</v>
      </c>
      <c r="BC35" s="201">
        <v>1</v>
      </c>
      <c r="BD35" s="201">
        <v>0.99299999999999999</v>
      </c>
      <c r="BE35" s="201">
        <v>0.99199999999999999</v>
      </c>
      <c r="BF35" s="201">
        <v>0.98599999999999999</v>
      </c>
      <c r="BG35" s="202">
        <v>1</v>
      </c>
    </row>
    <row r="36" spans="1:59" ht="14.1" customHeight="1" x14ac:dyDescent="0.2">
      <c r="A36" s="91"/>
      <c r="B36" s="92"/>
      <c r="C36" s="225"/>
      <c r="D36" s="323"/>
      <c r="E36" s="183"/>
      <c r="F36" s="183" t="s">
        <v>346</v>
      </c>
      <c r="G36" s="183" t="s">
        <v>347</v>
      </c>
      <c r="H36" s="324" t="s">
        <v>348</v>
      </c>
      <c r="I36" s="324"/>
      <c r="J36" s="181"/>
      <c r="K36" s="181"/>
      <c r="L36" s="181"/>
      <c r="M36" s="181"/>
      <c r="N36" s="181"/>
      <c r="O36" s="181"/>
      <c r="P36" s="181"/>
      <c r="Q36" s="181"/>
      <c r="R36" s="181"/>
      <c r="S36" s="181"/>
      <c r="T36" s="181"/>
      <c r="U36" s="181"/>
      <c r="V36" s="181"/>
      <c r="W36" s="325"/>
      <c r="X36" s="325"/>
      <c r="Y36" s="87">
        <v>8</v>
      </c>
      <c r="Z36" s="71">
        <v>0.90600000000000003</v>
      </c>
      <c r="AA36" s="71">
        <v>0.89800000000000002</v>
      </c>
      <c r="AB36" s="71">
        <v>0.89200000000000002</v>
      </c>
      <c r="AC36" s="71">
        <v>0.88900000000000001</v>
      </c>
      <c r="AD36" s="71">
        <v>0.90700000000000003</v>
      </c>
      <c r="AE36" s="71">
        <v>0.88</v>
      </c>
      <c r="AF36" s="72"/>
      <c r="AG36" s="42"/>
      <c r="AH36" s="530"/>
      <c r="AI36" s="199">
        <v>1.2</v>
      </c>
      <c r="AJ36" s="200">
        <v>1.0269999999999999</v>
      </c>
      <c r="AK36" s="201">
        <v>1.0169999999999999</v>
      </c>
      <c r="AL36" s="201">
        <v>1.0089999999999999</v>
      </c>
      <c r="AM36" s="201">
        <v>1.022</v>
      </c>
      <c r="AN36" s="102">
        <v>1.0640000000000001</v>
      </c>
      <c r="AO36" s="102">
        <v>1.0640000000000001</v>
      </c>
      <c r="AP36" s="102">
        <v>1.0640000000000001</v>
      </c>
      <c r="AQ36" s="201" t="s">
        <v>122</v>
      </c>
      <c r="AR36" s="102">
        <v>1.0509999999999999</v>
      </c>
      <c r="AS36" s="201">
        <v>1.0409999999999999</v>
      </c>
      <c r="AT36" s="202">
        <v>1.0249999999999999</v>
      </c>
      <c r="AU36" s="201">
        <v>0.96799999999999997</v>
      </c>
      <c r="AV36" s="201">
        <v>1</v>
      </c>
      <c r="AW36" s="201">
        <v>1.01</v>
      </c>
      <c r="AX36" s="201">
        <v>0.96199999999999997</v>
      </c>
      <c r="AY36" s="201">
        <v>0.99399999999999999</v>
      </c>
      <c r="AZ36" s="201">
        <v>0.95599999999999996</v>
      </c>
      <c r="BA36" s="201">
        <v>0.98799999999999999</v>
      </c>
      <c r="BB36" s="201">
        <v>0.98399999999999999</v>
      </c>
      <c r="BC36" s="201">
        <v>1.0009999999999999</v>
      </c>
      <c r="BD36" s="201">
        <v>0.98899999999999999</v>
      </c>
      <c r="BE36" s="201">
        <v>0.99199999999999999</v>
      </c>
      <c r="BF36" s="201">
        <v>0.97599999999999998</v>
      </c>
      <c r="BG36" s="202">
        <v>1</v>
      </c>
    </row>
    <row r="37" spans="1:59" ht="14.1" customHeight="1" x14ac:dyDescent="0.2">
      <c r="A37" s="83"/>
      <c r="B37" s="92"/>
      <c r="C37" s="326"/>
      <c r="D37" s="327"/>
      <c r="E37" s="54"/>
      <c r="F37" s="54" t="s">
        <v>6</v>
      </c>
      <c r="G37" s="54" t="s">
        <v>349</v>
      </c>
      <c r="H37" s="54" t="s">
        <v>79</v>
      </c>
      <c r="I37" s="54" t="s">
        <v>80</v>
      </c>
      <c r="J37" s="145"/>
      <c r="K37" s="145"/>
      <c r="L37" s="145"/>
      <c r="M37" s="145"/>
      <c r="N37" s="145"/>
      <c r="O37" s="145"/>
      <c r="P37" s="145"/>
      <c r="Q37" s="145"/>
      <c r="R37" s="145"/>
      <c r="S37" s="145"/>
      <c r="T37" s="145"/>
      <c r="U37" s="145"/>
      <c r="V37" s="145"/>
      <c r="W37" s="224"/>
      <c r="X37" s="224"/>
      <c r="Y37" s="87">
        <v>10</v>
      </c>
      <c r="Z37" s="71">
        <v>0.90100000000000002</v>
      </c>
      <c r="AA37" s="71">
        <v>0.89300000000000002</v>
      </c>
      <c r="AB37" s="71">
        <v>0.88200000000000001</v>
      </c>
      <c r="AC37" s="71">
        <v>0.88100000000000001</v>
      </c>
      <c r="AD37" s="71">
        <v>0.90200000000000002</v>
      </c>
      <c r="AE37" s="71">
        <v>0.87</v>
      </c>
      <c r="AF37" s="72"/>
      <c r="AG37" s="42"/>
      <c r="AH37" s="530"/>
      <c r="AI37" s="199">
        <v>1</v>
      </c>
      <c r="AJ37" s="203">
        <v>1.0529999999999999</v>
      </c>
      <c r="AK37" s="201">
        <v>1.0269999999999999</v>
      </c>
      <c r="AL37" s="201">
        <v>1.014</v>
      </c>
      <c r="AM37" s="201">
        <v>1.0409999999999999</v>
      </c>
      <c r="AN37" s="201" t="s">
        <v>122</v>
      </c>
      <c r="AO37" s="201" t="s">
        <v>122</v>
      </c>
      <c r="AP37" s="201" t="s">
        <v>122</v>
      </c>
      <c r="AQ37" s="201" t="s">
        <v>122</v>
      </c>
      <c r="AR37" s="201" t="s">
        <v>122</v>
      </c>
      <c r="AS37" s="102">
        <v>1.0589999999999999</v>
      </c>
      <c r="AT37" s="202">
        <v>1.0389999999999999</v>
      </c>
      <c r="AU37" s="201">
        <v>0.96099999999999997</v>
      </c>
      <c r="AV37" s="201">
        <v>0.996</v>
      </c>
      <c r="AW37" s="201">
        <v>1.0029999999999999</v>
      </c>
      <c r="AX37" s="102">
        <v>0.94799999999999995</v>
      </c>
      <c r="AY37" s="201">
        <v>0.98599999999999999</v>
      </c>
      <c r="AZ37" s="102">
        <v>0.94440000000000002</v>
      </c>
      <c r="BA37" s="201">
        <v>0.98</v>
      </c>
      <c r="BB37" s="201">
        <v>0.97599999999999998</v>
      </c>
      <c r="BC37" s="201">
        <v>1.0029999999999999</v>
      </c>
      <c r="BD37" s="201">
        <v>0.98399999999999999</v>
      </c>
      <c r="BE37" s="201">
        <v>0.99299999999999999</v>
      </c>
      <c r="BF37" s="201">
        <v>0.96599999999999997</v>
      </c>
      <c r="BG37" s="202">
        <v>1</v>
      </c>
    </row>
    <row r="38" spans="1:59" ht="14.1" customHeight="1" x14ac:dyDescent="0.2">
      <c r="A38" s="286" t="s">
        <v>12</v>
      </c>
      <c r="B38" s="74" t="str">
        <f ca="1">IF(ISBLANK(C38),"---",IF(NOW()&gt;D38+(3*365),"Expired!","Current"))</f>
        <v>Current</v>
      </c>
      <c r="C38" s="261">
        <v>1928</v>
      </c>
      <c r="D38" s="262">
        <v>43874</v>
      </c>
      <c r="E38" s="328" t="s">
        <v>331</v>
      </c>
      <c r="F38" s="281">
        <v>74.66544397004472</v>
      </c>
      <c r="G38" s="263">
        <v>7.13</v>
      </c>
      <c r="H38" s="122">
        <v>1.0038</v>
      </c>
      <c r="I38" s="122">
        <v>0.99990000000000001</v>
      </c>
      <c r="J38" s="329"/>
      <c r="K38" s="329"/>
      <c r="L38" s="329"/>
      <c r="M38" s="329"/>
      <c r="N38" s="329"/>
      <c r="O38" s="329"/>
      <c r="P38" s="329"/>
      <c r="Q38" s="329"/>
      <c r="R38" s="329"/>
      <c r="S38" s="329"/>
      <c r="T38" s="329"/>
      <c r="U38" s="329"/>
      <c r="V38" s="330"/>
      <c r="W38" s="331"/>
      <c r="X38" s="331"/>
      <c r="Y38" s="87">
        <v>13</v>
      </c>
      <c r="Z38" s="71">
        <v>0.89300000000000002</v>
      </c>
      <c r="AA38" s="71">
        <v>0.88500000000000001</v>
      </c>
      <c r="AB38" s="71">
        <v>0.87</v>
      </c>
      <c r="AC38" s="71">
        <v>0.87</v>
      </c>
      <c r="AD38" s="71">
        <v>0.89400000000000002</v>
      </c>
      <c r="AE38" s="71">
        <v>0.85799999999999998</v>
      </c>
      <c r="AF38" s="72"/>
      <c r="AG38" s="42"/>
      <c r="AH38" s="530"/>
      <c r="AI38" s="199">
        <v>0.8</v>
      </c>
      <c r="AJ38" s="200" t="s">
        <v>122</v>
      </c>
      <c r="AK38" s="201">
        <v>1.0429999999999999</v>
      </c>
      <c r="AL38" s="201">
        <v>1.0229999999999999</v>
      </c>
      <c r="AM38" s="102">
        <v>1.0760000000000001</v>
      </c>
      <c r="AN38" s="201" t="s">
        <v>122</v>
      </c>
      <c r="AO38" s="201" t="s">
        <v>122</v>
      </c>
      <c r="AP38" s="201" t="s">
        <v>122</v>
      </c>
      <c r="AQ38" s="201" t="s">
        <v>122</v>
      </c>
      <c r="AR38" s="201" t="s">
        <v>122</v>
      </c>
      <c r="AS38" s="201" t="s">
        <v>122</v>
      </c>
      <c r="AT38" s="103">
        <v>1.0620000000000001</v>
      </c>
      <c r="AU38" s="201">
        <v>0.95199999999999996</v>
      </c>
      <c r="AV38" s="201">
        <v>0.98899999999999999</v>
      </c>
      <c r="AW38" s="201">
        <v>0.99199999999999999</v>
      </c>
      <c r="AX38" s="201" t="s">
        <v>122</v>
      </c>
      <c r="AY38" s="201">
        <v>0.97599999999999998</v>
      </c>
      <c r="AZ38" s="201" t="s">
        <v>122</v>
      </c>
      <c r="BA38" s="201">
        <v>0.96899999999999997</v>
      </c>
      <c r="BB38" s="201">
        <v>0.96599999999999997</v>
      </c>
      <c r="BC38" s="201">
        <v>1.0089999999999999</v>
      </c>
      <c r="BD38" s="201">
        <v>0.97699999999999998</v>
      </c>
      <c r="BE38" s="201">
        <v>0.995</v>
      </c>
      <c r="BF38" s="201">
        <v>0.95099999999999996</v>
      </c>
      <c r="BG38" s="202">
        <v>1</v>
      </c>
    </row>
    <row r="39" spans="1:59" ht="14.1" customHeight="1" x14ac:dyDescent="0.2">
      <c r="A39" s="83"/>
      <c r="B39" s="75" t="str">
        <f ca="1">IF(ISBLANK(C39),"---",IF(NOW()&gt;D39+(3*365),"Expired!","Current"))</f>
        <v>Current</v>
      </c>
      <c r="C39" s="265">
        <v>1929</v>
      </c>
      <c r="D39" s="266">
        <v>43874</v>
      </c>
      <c r="E39" s="332" t="s">
        <v>331</v>
      </c>
      <c r="F39" s="283">
        <v>75.128007346521045</v>
      </c>
      <c r="G39" s="267">
        <v>7.13</v>
      </c>
      <c r="H39" s="130">
        <v>1.0035000000000001</v>
      </c>
      <c r="I39" s="130">
        <v>1.002</v>
      </c>
      <c r="J39" s="173"/>
      <c r="K39" s="173"/>
      <c r="L39" s="173"/>
      <c r="M39" s="173"/>
      <c r="N39" s="173"/>
      <c r="O39" s="173"/>
      <c r="P39" s="173"/>
      <c r="Q39" s="173"/>
      <c r="R39" s="173"/>
      <c r="S39" s="173"/>
      <c r="T39" s="173"/>
      <c r="U39" s="173"/>
      <c r="V39" s="173"/>
      <c r="W39" s="333"/>
      <c r="X39" s="333"/>
      <c r="Y39" s="87">
        <v>16</v>
      </c>
      <c r="Z39" s="71">
        <v>0.88600000000000001</v>
      </c>
      <c r="AA39" s="71">
        <v>0.878</v>
      </c>
      <c r="AB39" s="71">
        <v>0.86</v>
      </c>
      <c r="AC39" s="71">
        <v>0.86</v>
      </c>
      <c r="AD39" s="71">
        <v>0.88700000000000001</v>
      </c>
      <c r="AE39" s="71">
        <v>0.84799999999999998</v>
      </c>
      <c r="AF39" s="72"/>
      <c r="AG39" s="42"/>
      <c r="AH39" s="530"/>
      <c r="AI39" s="199">
        <v>0.6</v>
      </c>
      <c r="AJ39" s="200" t="s">
        <v>122</v>
      </c>
      <c r="AK39" s="102">
        <v>1.071</v>
      </c>
      <c r="AL39" s="201">
        <v>1.0429999999999999</v>
      </c>
      <c r="AM39" s="201" t="s">
        <v>122</v>
      </c>
      <c r="AN39" s="201" t="s">
        <v>122</v>
      </c>
      <c r="AO39" s="201" t="s">
        <v>122</v>
      </c>
      <c r="AP39" s="201" t="s">
        <v>122</v>
      </c>
      <c r="AQ39" s="201" t="s">
        <v>122</v>
      </c>
      <c r="AR39" s="201" t="s">
        <v>122</v>
      </c>
      <c r="AS39" s="201" t="s">
        <v>122</v>
      </c>
      <c r="AT39" s="202" t="s">
        <v>122</v>
      </c>
      <c r="AU39" s="102">
        <v>0.94099999999999995</v>
      </c>
      <c r="AV39" s="201">
        <v>0.98</v>
      </c>
      <c r="AW39" s="201">
        <v>0.97399999999999998</v>
      </c>
      <c r="AX39" s="201" t="s">
        <v>122</v>
      </c>
      <c r="AY39" s="201">
        <v>0.96</v>
      </c>
      <c r="AZ39" s="201" t="s">
        <v>122</v>
      </c>
      <c r="BA39" s="201">
        <v>0.95399999999999996</v>
      </c>
      <c r="BB39" s="201">
        <v>0.95299999999999996</v>
      </c>
      <c r="BC39" s="201">
        <v>1.026</v>
      </c>
      <c r="BD39" s="201">
        <v>0.96799999999999997</v>
      </c>
      <c r="BE39" s="201">
        <v>1.0049999999999999</v>
      </c>
      <c r="BF39" s="201" t="s">
        <v>122</v>
      </c>
      <c r="BG39" s="202">
        <v>1</v>
      </c>
    </row>
    <row r="40" spans="1:59" ht="14.1" customHeight="1" x14ac:dyDescent="0.2">
      <c r="A40" s="83"/>
      <c r="B40" s="75" t="str">
        <f ca="1">IF(ISBLANK(C40),"---",IF(NOW()&gt;D40+(3*365),"Expired!","Current"))</f>
        <v>Current</v>
      </c>
      <c r="C40" s="265">
        <v>1930</v>
      </c>
      <c r="D40" s="266">
        <v>43874</v>
      </c>
      <c r="E40" s="332" t="s">
        <v>331</v>
      </c>
      <c r="F40" s="283">
        <v>74.367625567541083</v>
      </c>
      <c r="G40" s="267">
        <v>7.13</v>
      </c>
      <c r="H40" s="130">
        <v>1.0038</v>
      </c>
      <c r="I40" s="130">
        <v>0.99970000000000003</v>
      </c>
      <c r="J40" s="334"/>
      <c r="K40" s="173"/>
      <c r="L40" s="173"/>
      <c r="M40" s="173"/>
      <c r="N40" s="173"/>
      <c r="O40" s="334"/>
      <c r="P40" s="334"/>
      <c r="Q40" s="173"/>
      <c r="R40" s="173"/>
      <c r="S40" s="173"/>
      <c r="T40" s="173"/>
      <c r="U40" s="173"/>
      <c r="V40" s="173"/>
      <c r="W40" s="333"/>
      <c r="X40" s="333"/>
      <c r="Y40" s="95">
        <v>20</v>
      </c>
      <c r="Z40" s="78">
        <v>0.876</v>
      </c>
      <c r="AA40" s="78">
        <v>0.86799999999999999</v>
      </c>
      <c r="AB40" s="78">
        <v>0.84799999999999998</v>
      </c>
      <c r="AC40" s="78">
        <v>0.84899999999999998</v>
      </c>
      <c r="AD40" s="78">
        <v>0.877</v>
      </c>
      <c r="AE40" s="78">
        <v>0.83599999999999997</v>
      </c>
      <c r="AF40" s="79"/>
      <c r="AG40" s="42"/>
      <c r="AH40" s="530"/>
      <c r="AI40" s="199">
        <v>0.5</v>
      </c>
      <c r="AJ40" s="200" t="s">
        <v>122</v>
      </c>
      <c r="AK40" s="201" t="s">
        <v>122</v>
      </c>
      <c r="AL40" s="102">
        <v>1.0609999999999999</v>
      </c>
      <c r="AM40" s="201" t="s">
        <v>122</v>
      </c>
      <c r="AN40" s="201" t="s">
        <v>122</v>
      </c>
      <c r="AO40" s="201" t="s">
        <v>122</v>
      </c>
      <c r="AP40" s="201" t="s">
        <v>122</v>
      </c>
      <c r="AQ40" s="201" t="s">
        <v>122</v>
      </c>
      <c r="AR40" s="201" t="s">
        <v>122</v>
      </c>
      <c r="AS40" s="201" t="s">
        <v>122</v>
      </c>
      <c r="AT40" s="202" t="s">
        <v>122</v>
      </c>
      <c r="AU40" s="201" t="s">
        <v>122</v>
      </c>
      <c r="AV40" s="201">
        <v>0.97399999999999998</v>
      </c>
      <c r="AW40" s="201">
        <v>0.96199999999999997</v>
      </c>
      <c r="AX40" s="201" t="s">
        <v>122</v>
      </c>
      <c r="AY40" s="201">
        <v>0.95099999999999996</v>
      </c>
      <c r="AZ40" s="201" t="s">
        <v>122</v>
      </c>
      <c r="BA40" s="102">
        <v>0.94499999999999995</v>
      </c>
      <c r="BB40" s="102">
        <v>0.94499999999999995</v>
      </c>
      <c r="BC40" s="201">
        <v>1.0449999999999999</v>
      </c>
      <c r="BD40" s="201">
        <v>0.96199999999999997</v>
      </c>
      <c r="BE40" s="201">
        <v>1.0169999999999999</v>
      </c>
      <c r="BF40" s="201" t="s">
        <v>122</v>
      </c>
      <c r="BG40" s="202">
        <v>1</v>
      </c>
    </row>
    <row r="41" spans="1:59" ht="14.1" customHeight="1" x14ac:dyDescent="0.2">
      <c r="A41" s="83"/>
      <c r="B41" s="75" t="str">
        <f ca="1">IF(ISBLANK(C41),"---",IF(NOW()&gt;D41+(3*365),"Expired!","Current"))</f>
        <v>Current</v>
      </c>
      <c r="C41" s="265">
        <v>1931</v>
      </c>
      <c r="D41" s="266">
        <v>43874</v>
      </c>
      <c r="E41" s="332" t="s">
        <v>331</v>
      </c>
      <c r="F41" s="283">
        <v>74.702423204976128</v>
      </c>
      <c r="G41" s="267">
        <v>7.13</v>
      </c>
      <c r="H41" s="130">
        <v>1.0039</v>
      </c>
      <c r="I41" s="130">
        <v>0.99970000000000003</v>
      </c>
      <c r="J41" s="173"/>
      <c r="K41" s="173"/>
      <c r="L41" s="173"/>
      <c r="M41" s="173"/>
      <c r="N41" s="173"/>
      <c r="O41" s="173"/>
      <c r="P41" s="173"/>
      <c r="Q41" s="173"/>
      <c r="R41" s="173"/>
      <c r="S41" s="334"/>
      <c r="T41" s="173"/>
      <c r="U41" s="173"/>
      <c r="V41" s="173"/>
      <c r="W41" s="333"/>
      <c r="X41" s="333"/>
      <c r="Y41" s="51"/>
      <c r="Z41" s="51"/>
      <c r="AA41" s="51"/>
      <c r="AB41" s="51"/>
      <c r="AC41" s="51"/>
      <c r="AD41" s="51"/>
      <c r="AE41" s="51"/>
      <c r="AF41" s="51"/>
      <c r="AG41" s="42"/>
      <c r="AH41" s="531"/>
      <c r="AI41" s="204">
        <v>0.4</v>
      </c>
      <c r="AJ41" s="205" t="s">
        <v>122</v>
      </c>
      <c r="AK41" s="206" t="s">
        <v>122</v>
      </c>
      <c r="AL41" s="206" t="s">
        <v>122</v>
      </c>
      <c r="AM41" s="206" t="s">
        <v>122</v>
      </c>
      <c r="AN41" s="206" t="s">
        <v>122</v>
      </c>
      <c r="AO41" s="206" t="s">
        <v>122</v>
      </c>
      <c r="AP41" s="206" t="s">
        <v>122</v>
      </c>
      <c r="AQ41" s="206" t="s">
        <v>122</v>
      </c>
      <c r="AR41" s="206" t="s">
        <v>122</v>
      </c>
      <c r="AS41" s="206" t="s">
        <v>122</v>
      </c>
      <c r="AT41" s="207" t="s">
        <v>122</v>
      </c>
      <c r="AU41" s="206" t="s">
        <v>122</v>
      </c>
      <c r="AV41" s="206">
        <v>0.96699999999999997</v>
      </c>
      <c r="AW41" s="104">
        <v>0.94699999999999995</v>
      </c>
      <c r="AX41" s="206" t="s">
        <v>122</v>
      </c>
      <c r="AY41" s="104">
        <v>0.93899999999999995</v>
      </c>
      <c r="AZ41" s="206" t="s">
        <v>122</v>
      </c>
      <c r="BA41" s="206" t="s">
        <v>122</v>
      </c>
      <c r="BB41" s="206" t="s">
        <v>122</v>
      </c>
      <c r="BC41" s="104">
        <v>1.079</v>
      </c>
      <c r="BD41" s="206">
        <v>0.95499999999999996</v>
      </c>
      <c r="BE41" s="206">
        <v>1.0389999999999999</v>
      </c>
      <c r="BF41" s="206" t="s">
        <v>122</v>
      </c>
      <c r="BG41" s="207">
        <v>1</v>
      </c>
    </row>
    <row r="42" spans="1:59" ht="14.1" customHeight="1" x14ac:dyDescent="0.2">
      <c r="A42" s="96"/>
      <c r="B42" s="76" t="str">
        <f ca="1">IF(ISBLANK(C42),"---",IF(NOW()&gt;D42+(3*365),"Expired!","Current"))</f>
        <v>---</v>
      </c>
      <c r="C42" s="335"/>
      <c r="D42" s="336"/>
      <c r="E42" s="337"/>
      <c r="F42" s="338"/>
      <c r="G42" s="338"/>
      <c r="H42" s="169"/>
      <c r="I42" s="169"/>
      <c r="J42" s="276"/>
      <c r="K42" s="276"/>
      <c r="L42" s="276"/>
      <c r="M42" s="276"/>
      <c r="N42" s="276"/>
      <c r="O42" s="276"/>
      <c r="P42" s="276"/>
      <c r="Q42" s="276"/>
      <c r="R42" s="276"/>
      <c r="S42" s="339"/>
      <c r="T42" s="276"/>
      <c r="U42" s="276"/>
      <c r="V42" s="276"/>
      <c r="W42" s="340"/>
      <c r="X42" s="340"/>
      <c r="Y42" s="43" t="s">
        <v>130</v>
      </c>
      <c r="Z42" s="43" t="s">
        <v>131</v>
      </c>
      <c r="AA42" s="55"/>
      <c r="AB42" s="43"/>
      <c r="AC42" s="43"/>
      <c r="AD42" s="43"/>
      <c r="AE42" s="43"/>
      <c r="AF42" s="43"/>
      <c r="AG42" s="42"/>
      <c r="AH42" s="42"/>
      <c r="AI42" s="42"/>
      <c r="AJ42" s="42"/>
      <c r="AK42" s="42"/>
      <c r="AL42" s="42"/>
      <c r="AM42" s="42"/>
      <c r="AN42" s="42"/>
      <c r="AO42" s="42"/>
      <c r="AP42" s="42"/>
      <c r="AQ42" s="42"/>
      <c r="AR42" s="42"/>
      <c r="AS42" s="42"/>
      <c r="AT42" s="42"/>
      <c r="AU42" s="42"/>
      <c r="AV42" s="42"/>
      <c r="AW42" s="42"/>
      <c r="AX42" s="42"/>
      <c r="AY42" s="42"/>
      <c r="AZ42" s="42"/>
      <c r="BA42" s="42"/>
      <c r="BB42" s="42"/>
      <c r="BC42" s="42"/>
      <c r="BD42" s="42"/>
      <c r="BE42" s="42"/>
      <c r="BF42" s="42"/>
      <c r="BG42" s="42"/>
    </row>
    <row r="43" spans="1:59" ht="14.1" customHeight="1" x14ac:dyDescent="0.25">
      <c r="A43" s="42"/>
      <c r="B43" s="42"/>
      <c r="C43" s="97"/>
      <c r="D43" s="97"/>
      <c r="E43" s="97"/>
      <c r="F43" s="97"/>
      <c r="G43" s="97"/>
      <c r="H43" s="97"/>
      <c r="I43" s="97"/>
      <c r="J43" s="97"/>
      <c r="K43" s="97"/>
      <c r="L43" s="97"/>
      <c r="M43" s="97"/>
      <c r="N43" s="97"/>
      <c r="O43" s="97"/>
      <c r="P43" s="97"/>
      <c r="Q43" s="59"/>
      <c r="R43" s="59"/>
      <c r="S43" s="59"/>
      <c r="T43" s="59"/>
      <c r="U43" s="97"/>
      <c r="V43" s="97"/>
      <c r="W43" s="97"/>
      <c r="X43" s="145"/>
      <c r="Y43" s="80"/>
      <c r="Z43" s="81">
        <v>2571</v>
      </c>
      <c r="AA43" s="81">
        <v>30013</v>
      </c>
      <c r="AB43" s="81" t="s">
        <v>13</v>
      </c>
      <c r="AC43" s="81" t="s">
        <v>14</v>
      </c>
      <c r="AD43" s="81" t="s">
        <v>2</v>
      </c>
      <c r="AE43" s="81" t="s">
        <v>15</v>
      </c>
      <c r="AF43" s="82"/>
      <c r="AG43" s="42"/>
      <c r="AH43" s="217" t="s">
        <v>132</v>
      </c>
      <c r="AI43" s="73"/>
      <c r="AJ43" s="211" t="s">
        <v>133</v>
      </c>
      <c r="AK43" s="73"/>
      <c r="AL43" s="73"/>
      <c r="AM43" s="73"/>
      <c r="AN43" s="73"/>
      <c r="AO43" s="73"/>
      <c r="AP43" s="73"/>
      <c r="AQ43" s="73"/>
      <c r="AR43" s="73"/>
      <c r="AS43" s="73"/>
      <c r="AT43" s="73"/>
      <c r="AU43" s="73"/>
      <c r="AV43" s="73"/>
      <c r="AW43" s="73"/>
      <c r="AX43" s="73"/>
      <c r="AY43" s="73"/>
      <c r="AZ43" s="73"/>
      <c r="BA43" s="73"/>
      <c r="BB43" s="73"/>
      <c r="BC43" s="73"/>
      <c r="BD43" s="73"/>
      <c r="BE43" s="73"/>
      <c r="BF43" s="73"/>
      <c r="BG43" s="188"/>
    </row>
    <row r="44" spans="1:59" ht="14.1" customHeight="1" x14ac:dyDescent="0.2">
      <c r="A44" s="55" t="s">
        <v>134</v>
      </c>
      <c r="B44" s="92"/>
      <c r="C44" s="145"/>
      <c r="D44" s="145"/>
      <c r="E44" s="145"/>
      <c r="F44" s="145"/>
      <c r="G44" s="341"/>
      <c r="H44" s="341"/>
      <c r="I44" s="341"/>
      <c r="J44" s="341"/>
      <c r="K44" s="341"/>
      <c r="L44" s="341"/>
      <c r="M44" s="341"/>
      <c r="N44" s="145"/>
      <c r="O44" s="342" t="s">
        <v>135</v>
      </c>
      <c r="P44" s="326"/>
      <c r="Q44" s="98" t="s">
        <v>136</v>
      </c>
      <c r="R44" s="98"/>
      <c r="S44" s="56"/>
      <c r="T44" s="98" t="s">
        <v>137</v>
      </c>
      <c r="U44" s="54"/>
      <c r="V44" s="228"/>
      <c r="W44" s="145"/>
      <c r="X44" s="145"/>
      <c r="Y44" s="84" t="s">
        <v>125</v>
      </c>
      <c r="Z44" s="85" t="s">
        <v>16</v>
      </c>
      <c r="AA44" s="85" t="s">
        <v>16</v>
      </c>
      <c r="AB44" s="85" t="s">
        <v>17</v>
      </c>
      <c r="AC44" s="85" t="s">
        <v>17</v>
      </c>
      <c r="AD44" s="85" t="s">
        <v>16</v>
      </c>
      <c r="AE44" s="85" t="s">
        <v>17</v>
      </c>
      <c r="AF44" s="86"/>
      <c r="AG44" s="42"/>
      <c r="AH44" s="512" t="s">
        <v>90</v>
      </c>
      <c r="AI44" s="513"/>
      <c r="AJ44" s="212" t="str">
        <f t="shared" ref="AJ44:BG44" si="3">IF(AJ$6="","",AJ$6)</f>
        <v/>
      </c>
      <c r="AK44" s="213" t="str">
        <f t="shared" si="3"/>
        <v/>
      </c>
      <c r="AL44" s="213" t="str">
        <f t="shared" si="3"/>
        <v>CC01</v>
      </c>
      <c r="AM44" s="213" t="str">
        <f t="shared" si="3"/>
        <v>CC04</v>
      </c>
      <c r="AN44" s="213" t="str">
        <f t="shared" si="3"/>
        <v>CC13</v>
      </c>
      <c r="AO44" s="213" t="str">
        <f t="shared" si="3"/>
        <v/>
      </c>
      <c r="AP44" s="213" t="str">
        <f t="shared" si="3"/>
        <v/>
      </c>
      <c r="AQ44" s="213" t="str">
        <f t="shared" si="3"/>
        <v/>
      </c>
      <c r="AR44" s="213" t="str">
        <f t="shared" si="3"/>
        <v/>
      </c>
      <c r="AS44" s="213" t="str">
        <f t="shared" si="3"/>
        <v/>
      </c>
      <c r="AT44" s="214">
        <f t="shared" si="3"/>
        <v>31016</v>
      </c>
      <c r="AU44" s="213" t="str">
        <f t="shared" si="3"/>
        <v/>
      </c>
      <c r="AV44" s="213" t="str">
        <f t="shared" si="3"/>
        <v/>
      </c>
      <c r="AW44" s="213" t="str">
        <f t="shared" si="3"/>
        <v/>
      </c>
      <c r="AX44" s="213" t="str">
        <f t="shared" si="3"/>
        <v/>
      </c>
      <c r="AY44" s="213" t="str">
        <f t="shared" si="3"/>
        <v/>
      </c>
      <c r="AZ44" s="213">
        <f t="shared" si="3"/>
        <v>60016</v>
      </c>
      <c r="BA44" s="213">
        <f t="shared" si="3"/>
        <v>60017</v>
      </c>
      <c r="BB44" s="213">
        <f t="shared" si="3"/>
        <v>60018</v>
      </c>
      <c r="BC44" s="213" t="str">
        <f t="shared" si="3"/>
        <v/>
      </c>
      <c r="BD44" s="213">
        <f t="shared" si="3"/>
        <v>60019</v>
      </c>
      <c r="BE44" s="213" t="str">
        <f t="shared" si="3"/>
        <v/>
      </c>
      <c r="BF44" s="213" t="str">
        <f t="shared" si="3"/>
        <v/>
      </c>
      <c r="BG44" s="214" t="str">
        <f t="shared" si="3"/>
        <v/>
      </c>
    </row>
    <row r="45" spans="1:59" ht="14.1" customHeight="1" x14ac:dyDescent="0.2">
      <c r="A45" s="288"/>
      <c r="B45" s="44" t="s">
        <v>77</v>
      </c>
      <c r="C45" s="225"/>
      <c r="D45" s="323"/>
      <c r="E45" s="183"/>
      <c r="F45" s="343" t="s">
        <v>385</v>
      </c>
      <c r="G45" s="181"/>
      <c r="H45" s="181"/>
      <c r="I45" s="181"/>
      <c r="J45" s="181"/>
      <c r="K45" s="181"/>
      <c r="L45" s="181"/>
      <c r="M45" s="325"/>
      <c r="N45" s="145"/>
      <c r="O45" s="344" t="s">
        <v>138</v>
      </c>
      <c r="P45" s="344" t="s">
        <v>139</v>
      </c>
      <c r="Q45" s="344" t="s">
        <v>140</v>
      </c>
      <c r="R45" s="101" t="s">
        <v>11</v>
      </c>
      <c r="S45" s="56"/>
      <c r="T45" s="345" t="s">
        <v>141</v>
      </c>
      <c r="U45" s="346" t="s">
        <v>142</v>
      </c>
      <c r="V45" s="346" t="s">
        <v>142</v>
      </c>
      <c r="W45" s="347" t="s">
        <v>143</v>
      </c>
      <c r="X45" s="145"/>
      <c r="Y45" s="87">
        <v>1</v>
      </c>
      <c r="Z45" s="71" t="s">
        <v>18</v>
      </c>
      <c r="AA45" s="71" t="s">
        <v>18</v>
      </c>
      <c r="AB45" s="71">
        <v>1.0780000000000001</v>
      </c>
      <c r="AC45" s="71" t="s">
        <v>18</v>
      </c>
      <c r="AD45" s="71" t="s">
        <v>18</v>
      </c>
      <c r="AE45" s="71">
        <v>1.0780000000000001</v>
      </c>
      <c r="AF45" s="72"/>
      <c r="AG45" s="42"/>
      <c r="AH45" s="512" t="s">
        <v>93</v>
      </c>
      <c r="AI45" s="513"/>
      <c r="AJ45" s="514" t="s">
        <v>94</v>
      </c>
      <c r="AK45" s="517" t="s">
        <v>95</v>
      </c>
      <c r="AL45" s="520" t="s">
        <v>96</v>
      </c>
      <c r="AM45" s="520" t="s">
        <v>97</v>
      </c>
      <c r="AN45" s="520" t="s">
        <v>98</v>
      </c>
      <c r="AO45" s="517" t="s">
        <v>99</v>
      </c>
      <c r="AP45" s="517" t="s">
        <v>100</v>
      </c>
      <c r="AQ45" s="517" t="s">
        <v>101</v>
      </c>
      <c r="AR45" s="517" t="s">
        <v>102</v>
      </c>
      <c r="AS45" s="517" t="s">
        <v>103</v>
      </c>
      <c r="AT45" s="532" t="s">
        <v>104</v>
      </c>
      <c r="AU45" s="514" t="s">
        <v>105</v>
      </c>
      <c r="AV45" s="517" t="s">
        <v>106</v>
      </c>
      <c r="AW45" s="517" t="s">
        <v>107</v>
      </c>
      <c r="AX45" s="517" t="s">
        <v>108</v>
      </c>
      <c r="AY45" s="517" t="s">
        <v>109</v>
      </c>
      <c r="AZ45" s="520" t="s">
        <v>110</v>
      </c>
      <c r="BA45" s="520" t="s">
        <v>111</v>
      </c>
      <c r="BB45" s="520" t="s">
        <v>112</v>
      </c>
      <c r="BC45" s="517" t="s">
        <v>113</v>
      </c>
      <c r="BD45" s="535" t="s">
        <v>114</v>
      </c>
      <c r="BE45" s="517" t="s">
        <v>115</v>
      </c>
      <c r="BF45" s="517" t="s">
        <v>116</v>
      </c>
      <c r="BG45" s="532" t="s">
        <v>117</v>
      </c>
    </row>
    <row r="46" spans="1:59" ht="14.1" customHeight="1" x14ac:dyDescent="0.2">
      <c r="A46" s="289"/>
      <c r="B46" s="46" t="s">
        <v>85</v>
      </c>
      <c r="C46" s="348" t="s">
        <v>86</v>
      </c>
      <c r="D46" s="349" t="s">
        <v>35</v>
      </c>
      <c r="E46" s="350" t="s">
        <v>5</v>
      </c>
      <c r="F46" s="351">
        <v>1</v>
      </c>
      <c r="G46" s="351">
        <v>2</v>
      </c>
      <c r="H46" s="351">
        <v>3</v>
      </c>
      <c r="I46" s="351">
        <v>4</v>
      </c>
      <c r="J46" s="351">
        <v>5</v>
      </c>
      <c r="K46" s="351">
        <v>6</v>
      </c>
      <c r="L46" s="351">
        <v>7</v>
      </c>
      <c r="M46" s="352">
        <v>8</v>
      </c>
      <c r="N46" s="145"/>
      <c r="O46" s="353">
        <v>6</v>
      </c>
      <c r="P46" s="354">
        <v>0.98843970320157526</v>
      </c>
      <c r="Q46" s="135">
        <v>-2.5749484897904504E-4</v>
      </c>
      <c r="R46" s="135">
        <v>0.99841720531887979</v>
      </c>
      <c r="S46" s="56"/>
      <c r="T46" s="355"/>
      <c r="U46" s="348" t="s">
        <v>144</v>
      </c>
      <c r="V46" s="348" t="s">
        <v>145</v>
      </c>
      <c r="W46" s="356"/>
      <c r="X46" s="145"/>
      <c r="Y46" s="87">
        <v>1.4</v>
      </c>
      <c r="Z46" s="71" t="s">
        <v>18</v>
      </c>
      <c r="AA46" s="71" t="s">
        <v>18</v>
      </c>
      <c r="AB46" s="71">
        <v>1.0680000000000001</v>
      </c>
      <c r="AC46" s="71" t="s">
        <v>18</v>
      </c>
      <c r="AD46" s="71" t="s">
        <v>18</v>
      </c>
      <c r="AE46" s="71">
        <v>1.0680000000000001</v>
      </c>
      <c r="AF46" s="72"/>
      <c r="AG46" s="42"/>
      <c r="AH46" s="192" t="s">
        <v>128</v>
      </c>
      <c r="AI46" s="193" t="s">
        <v>146</v>
      </c>
      <c r="AJ46" s="515"/>
      <c r="AK46" s="518"/>
      <c r="AL46" s="521"/>
      <c r="AM46" s="521"/>
      <c r="AN46" s="521"/>
      <c r="AO46" s="518"/>
      <c r="AP46" s="518"/>
      <c r="AQ46" s="518"/>
      <c r="AR46" s="518"/>
      <c r="AS46" s="518"/>
      <c r="AT46" s="533"/>
      <c r="AU46" s="515"/>
      <c r="AV46" s="518"/>
      <c r="AW46" s="518"/>
      <c r="AX46" s="518"/>
      <c r="AY46" s="518"/>
      <c r="AZ46" s="521"/>
      <c r="BA46" s="521"/>
      <c r="BB46" s="521"/>
      <c r="BC46" s="518"/>
      <c r="BD46" s="536"/>
      <c r="BE46" s="518"/>
      <c r="BF46" s="518"/>
      <c r="BG46" s="533"/>
    </row>
    <row r="47" spans="1:59" ht="14.1" customHeight="1" x14ac:dyDescent="0.25">
      <c r="A47" s="290" t="s">
        <v>19</v>
      </c>
      <c r="B47" s="74" t="str">
        <f t="shared" ref="B47:B67" ca="1" si="4">IF(ISBLANK(C47),"---",IF(NOW()&gt;D47+(3*365),"Expired!","Current"))</f>
        <v>Current</v>
      </c>
      <c r="C47" s="357">
        <v>194</v>
      </c>
      <c r="D47" s="262">
        <v>44440</v>
      </c>
      <c r="E47" s="261" t="s">
        <v>418</v>
      </c>
      <c r="F47" s="358">
        <v>0.999</v>
      </c>
      <c r="G47" s="329"/>
      <c r="H47" s="329"/>
      <c r="I47" s="329"/>
      <c r="J47" s="330"/>
      <c r="K47" s="329"/>
      <c r="L47" s="329"/>
      <c r="M47" s="359"/>
      <c r="N47" s="145"/>
      <c r="O47" s="353" t="s">
        <v>7</v>
      </c>
      <c r="P47" s="354">
        <v>0.98799999999999999</v>
      </c>
      <c r="Q47"/>
      <c r="R47"/>
      <c r="S47" s="56"/>
      <c r="T47" s="360" t="s">
        <v>147</v>
      </c>
      <c r="U47" s="361">
        <v>1.4E-2</v>
      </c>
      <c r="V47" s="361">
        <v>2.1999999999999999E-2</v>
      </c>
      <c r="W47" s="362">
        <v>3.3000000000000002E-2</v>
      </c>
      <c r="X47" s="145"/>
      <c r="Y47" s="87">
        <v>2</v>
      </c>
      <c r="Z47" s="71" t="s">
        <v>18</v>
      </c>
      <c r="AA47" s="71" t="s">
        <v>18</v>
      </c>
      <c r="AB47" s="71">
        <v>1.0549999999999999</v>
      </c>
      <c r="AC47" s="71">
        <v>1.038</v>
      </c>
      <c r="AD47" s="71" t="s">
        <v>18</v>
      </c>
      <c r="AE47" s="71">
        <v>1.0549999999999999</v>
      </c>
      <c r="AF47" s="72"/>
      <c r="AG47" s="42"/>
      <c r="AH47" s="226" t="s">
        <v>120</v>
      </c>
      <c r="AI47" s="193">
        <v>10</v>
      </c>
      <c r="AJ47" s="516"/>
      <c r="AK47" s="519"/>
      <c r="AL47" s="522"/>
      <c r="AM47" s="522"/>
      <c r="AN47" s="522"/>
      <c r="AO47" s="519"/>
      <c r="AP47" s="519"/>
      <c r="AQ47" s="519"/>
      <c r="AR47" s="519"/>
      <c r="AS47" s="519"/>
      <c r="AT47" s="534"/>
      <c r="AU47" s="516"/>
      <c r="AV47" s="519"/>
      <c r="AW47" s="519"/>
      <c r="AX47" s="519"/>
      <c r="AY47" s="519"/>
      <c r="AZ47" s="522"/>
      <c r="BA47" s="522"/>
      <c r="BB47" s="522"/>
      <c r="BC47" s="519"/>
      <c r="BD47" s="537"/>
      <c r="BE47" s="519"/>
      <c r="BF47" s="519"/>
      <c r="BG47" s="534"/>
    </row>
    <row r="48" spans="1:59" ht="14.1" customHeight="1" x14ac:dyDescent="0.25">
      <c r="A48" s="291"/>
      <c r="B48" s="75" t="str">
        <f t="shared" ca="1" si="4"/>
        <v>Expired!</v>
      </c>
      <c r="C48" s="363">
        <v>195</v>
      </c>
      <c r="D48" s="266">
        <v>43301</v>
      </c>
      <c r="E48" s="265" t="s">
        <v>36</v>
      </c>
      <c r="F48" s="364">
        <v>1</v>
      </c>
      <c r="G48" s="334"/>
      <c r="H48" s="334"/>
      <c r="I48" s="173"/>
      <c r="J48" s="173"/>
      <c r="K48" s="173"/>
      <c r="L48" s="173"/>
      <c r="M48" s="333"/>
      <c r="N48" s="145"/>
      <c r="O48" s="353">
        <v>10</v>
      </c>
      <c r="P48" s="354">
        <v>0.99181818181818171</v>
      </c>
      <c r="Q48"/>
      <c r="R48"/>
      <c r="S48" s="56"/>
      <c r="T48" s="157" t="s">
        <v>148</v>
      </c>
      <c r="U48" s="365">
        <v>2.1000000000000001E-2</v>
      </c>
      <c r="V48" s="365">
        <v>3.3000000000000002E-2</v>
      </c>
      <c r="W48" s="366">
        <v>0.05</v>
      </c>
      <c r="X48" s="145"/>
      <c r="Y48" s="87">
        <v>2.5</v>
      </c>
      <c r="Z48" s="71" t="s">
        <v>18</v>
      </c>
      <c r="AA48" s="71" t="s">
        <v>18</v>
      </c>
      <c r="AB48" s="71">
        <v>1.0469999999999999</v>
      </c>
      <c r="AC48" s="71">
        <v>1.032</v>
      </c>
      <c r="AD48" s="71" t="s">
        <v>18</v>
      </c>
      <c r="AE48" s="71">
        <v>1.0469999999999999</v>
      </c>
      <c r="AF48" s="72"/>
      <c r="AG48" s="42"/>
      <c r="AH48" s="529" t="s">
        <v>121</v>
      </c>
      <c r="AI48" s="194">
        <v>5</v>
      </c>
      <c r="AJ48" s="195">
        <v>1</v>
      </c>
      <c r="AK48" s="196">
        <v>1</v>
      </c>
      <c r="AL48" s="196">
        <v>1.002</v>
      </c>
      <c r="AM48" s="196">
        <v>1</v>
      </c>
      <c r="AN48" s="196">
        <v>1</v>
      </c>
      <c r="AO48" s="196">
        <v>1</v>
      </c>
      <c r="AP48" s="196">
        <v>1</v>
      </c>
      <c r="AQ48" s="196">
        <v>1</v>
      </c>
      <c r="AR48" s="196">
        <v>1</v>
      </c>
      <c r="AS48" s="196">
        <v>1</v>
      </c>
      <c r="AT48" s="197">
        <v>1</v>
      </c>
      <c r="AU48" s="196">
        <v>0.999</v>
      </c>
      <c r="AV48" s="196">
        <v>1.0049999999999999</v>
      </c>
      <c r="AW48" s="196">
        <v>1.0089999999999999</v>
      </c>
      <c r="AX48" s="196">
        <v>1</v>
      </c>
      <c r="AY48" s="196">
        <v>1.0049999999999999</v>
      </c>
      <c r="AZ48" s="196">
        <v>1</v>
      </c>
      <c r="BA48" s="196">
        <v>1.004</v>
      </c>
      <c r="BB48" s="196">
        <v>1.004</v>
      </c>
      <c r="BC48" s="196">
        <v>1</v>
      </c>
      <c r="BD48" s="198">
        <v>1</v>
      </c>
      <c r="BE48" s="196">
        <v>0.997</v>
      </c>
      <c r="BF48" s="196">
        <v>1</v>
      </c>
      <c r="BG48" s="197">
        <v>1</v>
      </c>
    </row>
    <row r="49" spans="1:59" ht="14.1" customHeight="1" x14ac:dyDescent="0.25">
      <c r="A49" s="291"/>
      <c r="B49" s="75" t="str">
        <f t="shared" ca="1" si="4"/>
        <v>Current</v>
      </c>
      <c r="C49" s="363">
        <v>259</v>
      </c>
      <c r="D49" s="266">
        <v>44278</v>
      </c>
      <c r="E49" s="265" t="s">
        <v>389</v>
      </c>
      <c r="F49" s="364">
        <v>1</v>
      </c>
      <c r="G49" s="334"/>
      <c r="H49" s="334"/>
      <c r="I49" s="173"/>
      <c r="J49" s="173"/>
      <c r="K49" s="173"/>
      <c r="L49" s="173"/>
      <c r="M49" s="333"/>
      <c r="N49" s="145"/>
      <c r="O49" s="353" t="s">
        <v>8</v>
      </c>
      <c r="P49" s="354">
        <v>0.99536750287665199</v>
      </c>
      <c r="Q49"/>
      <c r="R49"/>
      <c r="S49" s="56"/>
      <c r="T49" s="145"/>
      <c r="U49" s="171"/>
      <c r="V49" s="367"/>
      <c r="W49" s="145"/>
      <c r="X49" s="145"/>
      <c r="Y49" s="87">
        <v>3</v>
      </c>
      <c r="Z49" s="71" t="s">
        <v>18</v>
      </c>
      <c r="AA49" s="71" t="s">
        <v>18</v>
      </c>
      <c r="AB49" s="71">
        <v>1.04</v>
      </c>
      <c r="AC49" s="71">
        <v>1.028</v>
      </c>
      <c r="AD49" s="71" t="s">
        <v>18</v>
      </c>
      <c r="AE49" s="71">
        <v>1.04</v>
      </c>
      <c r="AF49" s="72"/>
      <c r="AG49" s="42"/>
      <c r="AH49" s="530"/>
      <c r="AI49" s="199">
        <v>4</v>
      </c>
      <c r="AJ49" s="200">
        <v>1</v>
      </c>
      <c r="AK49" s="201">
        <v>1</v>
      </c>
      <c r="AL49" s="201">
        <v>1.0029999999999999</v>
      </c>
      <c r="AM49" s="201">
        <v>1</v>
      </c>
      <c r="AN49" s="201">
        <v>1</v>
      </c>
      <c r="AO49" s="201">
        <v>1</v>
      </c>
      <c r="AP49" s="201">
        <v>1</v>
      </c>
      <c r="AQ49" s="201">
        <v>1.0009999999999999</v>
      </c>
      <c r="AR49" s="201">
        <v>1</v>
      </c>
      <c r="AS49" s="201">
        <v>1</v>
      </c>
      <c r="AT49" s="202">
        <v>1</v>
      </c>
      <c r="AU49" s="201">
        <v>0.998</v>
      </c>
      <c r="AV49" s="201">
        <v>1.0069999999999999</v>
      </c>
      <c r="AW49" s="201">
        <v>1.0129999999999999</v>
      </c>
      <c r="AX49" s="201">
        <v>1</v>
      </c>
      <c r="AY49" s="201">
        <v>1.008</v>
      </c>
      <c r="AZ49" s="201">
        <v>0.999</v>
      </c>
      <c r="BA49" s="201">
        <v>1.0049999999999999</v>
      </c>
      <c r="BB49" s="201">
        <v>1.0049999999999999</v>
      </c>
      <c r="BC49" s="201">
        <v>1</v>
      </c>
      <c r="BD49" s="201">
        <v>1</v>
      </c>
      <c r="BE49" s="201">
        <v>0.995</v>
      </c>
      <c r="BF49" s="201">
        <v>1</v>
      </c>
      <c r="BG49" s="202">
        <v>1</v>
      </c>
    </row>
    <row r="50" spans="1:59" ht="14.1" customHeight="1" x14ac:dyDescent="0.2">
      <c r="A50" s="291"/>
      <c r="B50" s="75" t="str">
        <f t="shared" ca="1" si="4"/>
        <v>Current</v>
      </c>
      <c r="C50" s="368">
        <v>175</v>
      </c>
      <c r="D50" s="266">
        <v>43584</v>
      </c>
      <c r="E50" s="265" t="s">
        <v>323</v>
      </c>
      <c r="F50" s="364">
        <v>0.99950000000000006</v>
      </c>
      <c r="G50" s="334"/>
      <c r="H50" s="334"/>
      <c r="I50" s="173"/>
      <c r="J50" s="173"/>
      <c r="K50" s="173"/>
      <c r="L50" s="173"/>
      <c r="M50" s="333"/>
      <c r="N50" s="176"/>
      <c r="O50" s="353">
        <v>15</v>
      </c>
      <c r="P50" s="354">
        <v>0.995</v>
      </c>
      <c r="Q50" s="145" t="s">
        <v>278</v>
      </c>
      <c r="R50" s="56"/>
      <c r="S50" s="56"/>
      <c r="T50" s="145"/>
      <c r="U50" s="367"/>
      <c r="V50" s="367"/>
      <c r="W50" s="145"/>
      <c r="X50" s="145"/>
      <c r="Y50" s="87">
        <v>3.5</v>
      </c>
      <c r="Z50" s="71" t="s">
        <v>18</v>
      </c>
      <c r="AA50" s="71" t="s">
        <v>18</v>
      </c>
      <c r="AB50" s="71">
        <v>1.034</v>
      </c>
      <c r="AC50" s="71">
        <v>1.024</v>
      </c>
      <c r="AD50" s="71" t="s">
        <v>18</v>
      </c>
      <c r="AE50" s="71">
        <v>1.034</v>
      </c>
      <c r="AF50" s="72"/>
      <c r="AG50" s="42"/>
      <c r="AH50" s="530"/>
      <c r="AI50" s="199">
        <v>3.5</v>
      </c>
      <c r="AJ50" s="200">
        <v>1</v>
      </c>
      <c r="AK50" s="201">
        <v>1</v>
      </c>
      <c r="AL50" s="201">
        <v>1.004</v>
      </c>
      <c r="AM50" s="201">
        <v>1</v>
      </c>
      <c r="AN50" s="201">
        <v>1</v>
      </c>
      <c r="AO50" s="201">
        <v>1</v>
      </c>
      <c r="AP50" s="201">
        <v>1</v>
      </c>
      <c r="AQ50" s="201">
        <v>1.0009999999999999</v>
      </c>
      <c r="AR50" s="201">
        <v>1</v>
      </c>
      <c r="AS50" s="201">
        <v>1.0009999999999999</v>
      </c>
      <c r="AT50" s="202">
        <v>1</v>
      </c>
      <c r="AU50" s="201">
        <v>0.997</v>
      </c>
      <c r="AV50" s="201">
        <v>1.008</v>
      </c>
      <c r="AW50" s="201">
        <v>1.0149999999999999</v>
      </c>
      <c r="AX50" s="201">
        <v>0.999</v>
      </c>
      <c r="AY50" s="201">
        <v>1.0089999999999999</v>
      </c>
      <c r="AZ50" s="201">
        <v>0.998</v>
      </c>
      <c r="BA50" s="201">
        <v>1.006</v>
      </c>
      <c r="BB50" s="201">
        <v>1.0049999999999999</v>
      </c>
      <c r="BC50" s="201">
        <v>1</v>
      </c>
      <c r="BD50" s="201">
        <v>1</v>
      </c>
      <c r="BE50" s="201">
        <v>0.99399999999999999</v>
      </c>
      <c r="BF50" s="201">
        <v>1</v>
      </c>
      <c r="BG50" s="202">
        <v>1</v>
      </c>
    </row>
    <row r="51" spans="1:59" ht="14.1" customHeight="1" x14ac:dyDescent="0.2">
      <c r="A51" s="291"/>
      <c r="B51" s="75" t="str">
        <f t="shared" ca="1" si="4"/>
        <v>Current</v>
      </c>
      <c r="C51" s="368">
        <v>2226</v>
      </c>
      <c r="D51" s="266">
        <v>43871</v>
      </c>
      <c r="E51" s="265" t="s">
        <v>323</v>
      </c>
      <c r="F51" s="364">
        <v>0.99890000000000001</v>
      </c>
      <c r="G51" s="334"/>
      <c r="H51" s="334"/>
      <c r="I51" s="173"/>
      <c r="J51" s="173"/>
      <c r="K51" s="173"/>
      <c r="L51" s="173"/>
      <c r="M51" s="333"/>
      <c r="N51" s="176"/>
      <c r="O51" s="150">
        <v>18</v>
      </c>
      <c r="P51" s="369">
        <v>0.9946035699460356</v>
      </c>
      <c r="Q51" s="147">
        <v>6</v>
      </c>
      <c r="R51" s="138">
        <v>1.02</v>
      </c>
      <c r="S51" s="56"/>
      <c r="T51" s="145" t="s">
        <v>149</v>
      </c>
      <c r="U51" s="228"/>
      <c r="V51" s="228"/>
      <c r="W51" s="145"/>
      <c r="X51" s="145"/>
      <c r="Y51" s="87">
        <v>4</v>
      </c>
      <c r="Z51" s="71">
        <v>1.012</v>
      </c>
      <c r="AA51" s="71">
        <v>1.0129999999999999</v>
      </c>
      <c r="AB51" s="71">
        <v>1.028</v>
      </c>
      <c r="AC51" s="71">
        <v>1.02</v>
      </c>
      <c r="AD51" s="71">
        <v>1.012</v>
      </c>
      <c r="AE51" s="71">
        <v>1.028</v>
      </c>
      <c r="AF51" s="72"/>
      <c r="AG51" s="42"/>
      <c r="AH51" s="530"/>
      <c r="AI51" s="199">
        <v>3</v>
      </c>
      <c r="AJ51" s="200">
        <v>1</v>
      </c>
      <c r="AK51" s="201">
        <v>1</v>
      </c>
      <c r="AL51" s="201">
        <v>1.0049999999999999</v>
      </c>
      <c r="AM51" s="201">
        <v>1</v>
      </c>
      <c r="AN51" s="201">
        <v>1.0009999999999999</v>
      </c>
      <c r="AO51" s="201">
        <v>1.0009999999999999</v>
      </c>
      <c r="AP51" s="201">
        <v>1.0009999999999999</v>
      </c>
      <c r="AQ51" s="201">
        <v>1.004</v>
      </c>
      <c r="AR51" s="201">
        <v>1.0009999999999999</v>
      </c>
      <c r="AS51" s="201">
        <v>1.002</v>
      </c>
      <c r="AT51" s="202">
        <v>1.0009999999999999</v>
      </c>
      <c r="AU51" s="201">
        <v>0.995</v>
      </c>
      <c r="AV51" s="201">
        <v>1.0089999999999999</v>
      </c>
      <c r="AW51" s="201">
        <v>1.0169999999999999</v>
      </c>
      <c r="AX51" s="201">
        <v>0.998</v>
      </c>
      <c r="AY51" s="201">
        <v>1.01</v>
      </c>
      <c r="AZ51" s="201">
        <v>0.995</v>
      </c>
      <c r="BA51" s="201">
        <v>1.006</v>
      </c>
      <c r="BB51" s="201">
        <v>1.0049999999999999</v>
      </c>
      <c r="BC51" s="201">
        <v>1</v>
      </c>
      <c r="BD51" s="201">
        <v>1</v>
      </c>
      <c r="BE51" s="201">
        <v>0.99399999999999999</v>
      </c>
      <c r="BF51" s="201">
        <v>0.999</v>
      </c>
      <c r="BG51" s="202">
        <v>1</v>
      </c>
    </row>
    <row r="52" spans="1:59" ht="14.1" customHeight="1" x14ac:dyDescent="0.2">
      <c r="A52" s="291"/>
      <c r="B52" s="75" t="str">
        <f t="shared" ca="1" si="4"/>
        <v>Current</v>
      </c>
      <c r="C52" s="368">
        <v>180307</v>
      </c>
      <c r="D52" s="266">
        <v>44236</v>
      </c>
      <c r="E52" s="265" t="s">
        <v>384</v>
      </c>
      <c r="F52" s="364">
        <v>1</v>
      </c>
      <c r="G52" s="334"/>
      <c r="H52" s="334"/>
      <c r="I52" s="173"/>
      <c r="J52" s="173"/>
      <c r="K52" s="173"/>
      <c r="L52" s="173"/>
      <c r="M52" s="333"/>
      <c r="N52" s="176"/>
      <c r="O52" s="342" t="s">
        <v>150</v>
      </c>
      <c r="P52" s="326"/>
      <c r="Q52" s="136" t="s">
        <v>7</v>
      </c>
      <c r="R52" s="138">
        <v>1.02</v>
      </c>
      <c r="S52" s="56"/>
      <c r="T52" s="370"/>
      <c r="U52" s="371"/>
      <c r="V52" s="146" t="s">
        <v>151</v>
      </c>
      <c r="W52" s="372" t="s">
        <v>152</v>
      </c>
      <c r="X52" s="145"/>
      <c r="Y52" s="87">
        <v>4.5</v>
      </c>
      <c r="Z52" s="71">
        <v>1.01</v>
      </c>
      <c r="AA52" s="71">
        <v>1.01</v>
      </c>
      <c r="AB52" s="71">
        <v>1.0229999999999999</v>
      </c>
      <c r="AC52" s="71">
        <v>1.0169999999999999</v>
      </c>
      <c r="AD52" s="71">
        <v>1.01</v>
      </c>
      <c r="AE52" s="71">
        <v>1.0229999999999999</v>
      </c>
      <c r="AF52" s="72"/>
      <c r="AG52" s="42"/>
      <c r="AH52" s="530"/>
      <c r="AI52" s="199">
        <v>2.5</v>
      </c>
      <c r="AJ52" s="200">
        <v>1</v>
      </c>
      <c r="AK52" s="201">
        <v>1.0009999999999999</v>
      </c>
      <c r="AL52" s="201">
        <v>1.0049999999999999</v>
      </c>
      <c r="AM52" s="201">
        <v>1</v>
      </c>
      <c r="AN52" s="201">
        <v>1.002</v>
      </c>
      <c r="AO52" s="201">
        <v>1.002</v>
      </c>
      <c r="AP52" s="201">
        <v>1.002</v>
      </c>
      <c r="AQ52" s="201">
        <v>1.0089999999999999</v>
      </c>
      <c r="AR52" s="201">
        <v>1.002</v>
      </c>
      <c r="AS52" s="201">
        <v>1.004</v>
      </c>
      <c r="AT52" s="202">
        <v>1.0009999999999999</v>
      </c>
      <c r="AU52" s="201">
        <v>0.99199999999999999</v>
      </c>
      <c r="AV52" s="201">
        <v>1.0089999999999999</v>
      </c>
      <c r="AW52" s="201">
        <v>1.018</v>
      </c>
      <c r="AX52" s="201">
        <v>0.995</v>
      </c>
      <c r="AY52" s="201">
        <v>1.01</v>
      </c>
      <c r="AZ52" s="201">
        <v>0.99099999999999999</v>
      </c>
      <c r="BA52" s="201">
        <v>1.006</v>
      </c>
      <c r="BB52" s="201">
        <v>1.004</v>
      </c>
      <c r="BC52" s="201">
        <v>1</v>
      </c>
      <c r="BD52" s="201">
        <v>0.999</v>
      </c>
      <c r="BE52" s="201">
        <v>0.99299999999999999</v>
      </c>
      <c r="BF52" s="201">
        <v>0.998</v>
      </c>
      <c r="BG52" s="202">
        <v>1</v>
      </c>
    </row>
    <row r="53" spans="1:59" ht="14.1" customHeight="1" x14ac:dyDescent="0.2">
      <c r="A53" s="291"/>
      <c r="B53" s="75" t="str">
        <f t="shared" ca="1" si="4"/>
        <v>Current</v>
      </c>
      <c r="C53" s="368">
        <v>180439</v>
      </c>
      <c r="D53" s="496">
        <v>44440</v>
      </c>
      <c r="E53" s="173" t="s">
        <v>419</v>
      </c>
      <c r="F53" s="364">
        <v>1</v>
      </c>
      <c r="G53" s="173"/>
      <c r="H53" s="173"/>
      <c r="I53" s="173"/>
      <c r="J53" s="173"/>
      <c r="K53" s="173"/>
      <c r="L53" s="173"/>
      <c r="M53" s="333"/>
      <c r="N53" s="167"/>
      <c r="O53" s="146" t="s">
        <v>153</v>
      </c>
      <c r="P53" s="155" t="s">
        <v>139</v>
      </c>
      <c r="Q53" s="353">
        <v>10</v>
      </c>
      <c r="R53" s="138">
        <v>1.016</v>
      </c>
      <c r="S53" s="56"/>
      <c r="T53" s="153" t="s">
        <v>68</v>
      </c>
      <c r="U53" s="133">
        <v>6</v>
      </c>
      <c r="V53" s="373">
        <v>0.67100000000000004</v>
      </c>
      <c r="W53" s="374">
        <v>0.68400000000000005</v>
      </c>
      <c r="X53" s="145"/>
      <c r="Y53" s="87">
        <v>5</v>
      </c>
      <c r="Z53" s="71">
        <v>1.008</v>
      </c>
      <c r="AA53" s="71">
        <v>1.008</v>
      </c>
      <c r="AB53" s="71">
        <v>1.0189999999999999</v>
      </c>
      <c r="AC53" s="71">
        <v>1.014</v>
      </c>
      <c r="AD53" s="71">
        <v>1.008</v>
      </c>
      <c r="AE53" s="71">
        <v>1.0189999999999999</v>
      </c>
      <c r="AF53" s="72"/>
      <c r="AG53" s="42"/>
      <c r="AH53" s="530"/>
      <c r="AI53" s="199">
        <v>2</v>
      </c>
      <c r="AJ53" s="200">
        <v>1.002</v>
      </c>
      <c r="AK53" s="201">
        <v>1.0029999999999999</v>
      </c>
      <c r="AL53" s="201">
        <v>1.006</v>
      </c>
      <c r="AM53" s="201">
        <v>1.002</v>
      </c>
      <c r="AN53" s="201">
        <v>1.0089999999999999</v>
      </c>
      <c r="AO53" s="201">
        <v>1.0089999999999999</v>
      </c>
      <c r="AP53" s="201">
        <v>1.0089999999999999</v>
      </c>
      <c r="AQ53" s="201">
        <v>1.0229999999999999</v>
      </c>
      <c r="AR53" s="201">
        <v>1.008</v>
      </c>
      <c r="AS53" s="201">
        <v>1.0089999999999999</v>
      </c>
      <c r="AT53" s="202">
        <v>1.004</v>
      </c>
      <c r="AU53" s="201">
        <v>0.98599999999999999</v>
      </c>
      <c r="AV53" s="201">
        <v>1.0089999999999999</v>
      </c>
      <c r="AW53" s="201">
        <v>1.0189999999999999</v>
      </c>
      <c r="AX53" s="201">
        <v>0.99</v>
      </c>
      <c r="AY53" s="201">
        <v>1.008</v>
      </c>
      <c r="AZ53" s="201">
        <v>0.98399999999999999</v>
      </c>
      <c r="BA53" s="201">
        <v>1.0029999999999999</v>
      </c>
      <c r="BB53" s="201">
        <v>1.0009999999999999</v>
      </c>
      <c r="BC53" s="201">
        <v>1</v>
      </c>
      <c r="BD53" s="201">
        <v>0.997</v>
      </c>
      <c r="BE53" s="201">
        <v>0.99199999999999999</v>
      </c>
      <c r="BF53" s="201">
        <v>0.99399999999999999</v>
      </c>
      <c r="BG53" s="202">
        <v>1</v>
      </c>
    </row>
    <row r="54" spans="1:59" ht="14.1" customHeight="1" x14ac:dyDescent="0.2">
      <c r="A54" s="289"/>
      <c r="B54" s="76" t="str">
        <f t="shared" ca="1" si="4"/>
        <v>---</v>
      </c>
      <c r="C54" s="276"/>
      <c r="D54" s="335"/>
      <c r="E54" s="335"/>
      <c r="F54" s="175"/>
      <c r="G54" s="276"/>
      <c r="H54" s="339"/>
      <c r="I54" s="276"/>
      <c r="J54" s="276"/>
      <c r="K54" s="339"/>
      <c r="L54" s="276"/>
      <c r="M54" s="340"/>
      <c r="N54" s="145"/>
      <c r="O54" s="360" t="s">
        <v>301</v>
      </c>
      <c r="P54" s="375">
        <v>1.0057383564782618</v>
      </c>
      <c r="Q54" s="136" t="s">
        <v>8</v>
      </c>
      <c r="R54" s="138">
        <v>1.0129999999999999</v>
      </c>
      <c r="S54" s="56"/>
      <c r="T54" s="216" t="s">
        <v>154</v>
      </c>
      <c r="U54" s="228">
        <v>10</v>
      </c>
      <c r="V54" s="376">
        <v>0.73799999999999999</v>
      </c>
      <c r="W54" s="149">
        <v>0.73299999999999998</v>
      </c>
      <c r="X54" s="145"/>
      <c r="Y54" s="87">
        <v>5.5</v>
      </c>
      <c r="Z54" s="71">
        <v>1.006</v>
      </c>
      <c r="AA54" s="71">
        <v>1.0069999999999999</v>
      </c>
      <c r="AB54" s="71">
        <v>1.014</v>
      </c>
      <c r="AC54" s="71">
        <v>1.0109999999999999</v>
      </c>
      <c r="AD54" s="71">
        <v>1.006</v>
      </c>
      <c r="AE54" s="71">
        <v>1.014</v>
      </c>
      <c r="AF54" s="72"/>
      <c r="AG54" s="42"/>
      <c r="AH54" s="530"/>
      <c r="AI54" s="199">
        <v>1.5</v>
      </c>
      <c r="AJ54" s="200">
        <v>1.01</v>
      </c>
      <c r="AK54" s="201">
        <v>1.008</v>
      </c>
      <c r="AL54" s="201">
        <v>1.0069999999999999</v>
      </c>
      <c r="AM54" s="201">
        <v>1.0089999999999999</v>
      </c>
      <c r="AN54" s="201">
        <v>1.03</v>
      </c>
      <c r="AO54" s="201">
        <v>1.03</v>
      </c>
      <c r="AP54" s="201">
        <v>1.03</v>
      </c>
      <c r="AQ54" s="102">
        <v>1.0609999999999999</v>
      </c>
      <c r="AR54" s="201">
        <v>1.0249999999999999</v>
      </c>
      <c r="AS54" s="201">
        <v>1.0229999999999999</v>
      </c>
      <c r="AT54" s="202">
        <v>1.0129999999999999</v>
      </c>
      <c r="AU54" s="201">
        <v>0.97599999999999998</v>
      </c>
      <c r="AV54" s="201">
        <v>1.006</v>
      </c>
      <c r="AW54" s="201">
        <v>1.0169999999999999</v>
      </c>
      <c r="AX54" s="201">
        <v>0.97699999999999998</v>
      </c>
      <c r="AY54" s="201">
        <v>1.0029999999999999</v>
      </c>
      <c r="AZ54" s="201">
        <v>0.97</v>
      </c>
      <c r="BA54" s="201">
        <v>0.997</v>
      </c>
      <c r="BB54" s="201">
        <v>0.99299999999999999</v>
      </c>
      <c r="BC54" s="201">
        <v>1</v>
      </c>
      <c r="BD54" s="201">
        <v>0.99299999999999999</v>
      </c>
      <c r="BE54" s="201">
        <v>0.99099999999999999</v>
      </c>
      <c r="BF54" s="201">
        <v>0.98599999999999999</v>
      </c>
      <c r="BG54" s="202">
        <v>1</v>
      </c>
    </row>
    <row r="55" spans="1:59" ht="14.1" customHeight="1" x14ac:dyDescent="0.2">
      <c r="A55" s="290" t="s">
        <v>32</v>
      </c>
      <c r="B55" s="74" t="str">
        <f t="shared" ca="1" si="4"/>
        <v>Current</v>
      </c>
      <c r="C55" s="357">
        <v>68964006</v>
      </c>
      <c r="D55" s="262">
        <v>44389</v>
      </c>
      <c r="E55" s="377" t="s">
        <v>414</v>
      </c>
      <c r="F55" s="378">
        <v>1.0029999999999999</v>
      </c>
      <c r="G55" s="378">
        <v>1.002</v>
      </c>
      <c r="H55" s="330"/>
      <c r="I55" s="329"/>
      <c r="J55" s="329"/>
      <c r="K55" s="330"/>
      <c r="L55" s="330"/>
      <c r="M55" s="331"/>
      <c r="N55" s="145"/>
      <c r="O55" s="157" t="s">
        <v>298</v>
      </c>
      <c r="P55" s="379">
        <v>0.99605328071040944</v>
      </c>
      <c r="Q55" s="150">
        <v>18</v>
      </c>
      <c r="R55" s="138">
        <v>1.0049999999999999</v>
      </c>
      <c r="S55" s="56"/>
      <c r="T55" s="216"/>
      <c r="U55" s="380">
        <v>18</v>
      </c>
      <c r="V55" s="376">
        <v>0.78100000000000003</v>
      </c>
      <c r="W55" s="149">
        <v>0.77900000000000003</v>
      </c>
      <c r="X55" s="145"/>
      <c r="Y55" s="87">
        <v>6</v>
      </c>
      <c r="Z55" s="71">
        <v>1.0049999999999999</v>
      </c>
      <c r="AA55" s="71">
        <v>1.0049999999999999</v>
      </c>
      <c r="AB55" s="71">
        <v>1.01</v>
      </c>
      <c r="AC55" s="71">
        <v>1.008</v>
      </c>
      <c r="AD55" s="71">
        <v>1.0049999999999999</v>
      </c>
      <c r="AE55" s="71">
        <v>1.01</v>
      </c>
      <c r="AF55" s="72"/>
      <c r="AG55" s="42"/>
      <c r="AH55" s="530"/>
      <c r="AI55" s="199">
        <v>1.2</v>
      </c>
      <c r="AJ55" s="200">
        <v>1.0269999999999999</v>
      </c>
      <c r="AK55" s="201">
        <v>1.0169999999999999</v>
      </c>
      <c r="AL55" s="201">
        <v>1.01</v>
      </c>
      <c r="AM55" s="201">
        <v>1.022</v>
      </c>
      <c r="AN55" s="102">
        <v>1.0640000000000001</v>
      </c>
      <c r="AO55" s="102">
        <v>1.0640000000000001</v>
      </c>
      <c r="AP55" s="102">
        <v>1.0640000000000001</v>
      </c>
      <c r="AQ55" s="201" t="s">
        <v>122</v>
      </c>
      <c r="AR55" s="102">
        <v>1.0509999999999999</v>
      </c>
      <c r="AS55" s="201">
        <v>1.0409999999999999</v>
      </c>
      <c r="AT55" s="202">
        <v>1.0249999999999999</v>
      </c>
      <c r="AU55" s="201">
        <v>0.96799999999999997</v>
      </c>
      <c r="AV55" s="201">
        <v>1.002</v>
      </c>
      <c r="AW55" s="201">
        <v>1.012</v>
      </c>
      <c r="AX55" s="201">
        <v>0.96199999999999997</v>
      </c>
      <c r="AY55" s="201">
        <v>0.996</v>
      </c>
      <c r="AZ55" s="201">
        <v>0.95599999999999996</v>
      </c>
      <c r="BA55" s="201">
        <v>0.98899999999999999</v>
      </c>
      <c r="BB55" s="201">
        <v>0.98499999999999999</v>
      </c>
      <c r="BC55" s="201">
        <v>1.0009999999999999</v>
      </c>
      <c r="BD55" s="201">
        <v>0.98899999999999999</v>
      </c>
      <c r="BE55" s="201">
        <v>0.99099999999999999</v>
      </c>
      <c r="BF55" s="201">
        <v>0.97599999999999998</v>
      </c>
      <c r="BG55" s="202">
        <v>1</v>
      </c>
    </row>
    <row r="56" spans="1:59" ht="14.1" customHeight="1" x14ac:dyDescent="0.2">
      <c r="A56" s="291"/>
      <c r="B56" s="75" t="str">
        <f t="shared" ca="1" si="4"/>
        <v>Expired!</v>
      </c>
      <c r="C56" s="363">
        <v>68964016</v>
      </c>
      <c r="D56" s="266">
        <v>43342</v>
      </c>
      <c r="E56" s="381" t="s">
        <v>338</v>
      </c>
      <c r="F56" s="382">
        <v>1.004</v>
      </c>
      <c r="G56" s="382">
        <v>1.0029999999999999</v>
      </c>
      <c r="H56" s="173"/>
      <c r="I56" s="173"/>
      <c r="J56" s="173"/>
      <c r="K56" s="173"/>
      <c r="L56" s="173"/>
      <c r="M56" s="333"/>
      <c r="N56" s="145"/>
      <c r="O56" s="342" t="s">
        <v>155</v>
      </c>
      <c r="P56" s="326"/>
      <c r="Q56" s="145" t="s">
        <v>279</v>
      </c>
      <c r="R56" s="56"/>
      <c r="S56" s="56"/>
      <c r="T56" s="216"/>
      <c r="U56" s="367" t="s">
        <v>7</v>
      </c>
      <c r="V56" s="383"/>
      <c r="W56" s="149">
        <v>0.67800000000000005</v>
      </c>
      <c r="X56" s="145"/>
      <c r="Y56" s="87">
        <v>7</v>
      </c>
      <c r="Z56" s="71">
        <v>1.0009999999999999</v>
      </c>
      <c r="AA56" s="71">
        <v>1.002</v>
      </c>
      <c r="AB56" s="71">
        <v>1.0029999999999999</v>
      </c>
      <c r="AC56" s="71">
        <v>1.0029999999999999</v>
      </c>
      <c r="AD56" s="71">
        <v>1.002</v>
      </c>
      <c r="AE56" s="71">
        <v>1.0029999999999999</v>
      </c>
      <c r="AF56" s="72"/>
      <c r="AG56" s="42"/>
      <c r="AH56" s="530"/>
      <c r="AI56" s="199">
        <v>1</v>
      </c>
      <c r="AJ56" s="203">
        <v>1.0529999999999999</v>
      </c>
      <c r="AK56" s="201">
        <v>1.0269999999999999</v>
      </c>
      <c r="AL56" s="201">
        <v>1.014</v>
      </c>
      <c r="AM56" s="201">
        <v>1.0409999999999999</v>
      </c>
      <c r="AN56" s="201" t="s">
        <v>122</v>
      </c>
      <c r="AO56" s="201" t="s">
        <v>122</v>
      </c>
      <c r="AP56" s="201" t="s">
        <v>122</v>
      </c>
      <c r="AQ56" s="201" t="s">
        <v>122</v>
      </c>
      <c r="AR56" s="201" t="s">
        <v>122</v>
      </c>
      <c r="AS56" s="102">
        <v>1.0589999999999999</v>
      </c>
      <c r="AT56" s="202">
        <v>1.0389999999999999</v>
      </c>
      <c r="AU56" s="201">
        <v>0.96099999999999997</v>
      </c>
      <c r="AV56" s="201">
        <v>0.997</v>
      </c>
      <c r="AW56" s="201">
        <v>1.006</v>
      </c>
      <c r="AX56" s="102">
        <v>0.94799999999999995</v>
      </c>
      <c r="AY56" s="201">
        <v>0.98799999999999999</v>
      </c>
      <c r="AZ56" s="102">
        <v>0.94399999999999995</v>
      </c>
      <c r="BA56" s="201">
        <v>0.98099999999999998</v>
      </c>
      <c r="BB56" s="201">
        <v>0.97699999999999998</v>
      </c>
      <c r="BC56" s="201">
        <v>1.0029999999999999</v>
      </c>
      <c r="BD56" s="201">
        <v>0.98399999999999999</v>
      </c>
      <c r="BE56" s="201">
        <v>0.99199999999999999</v>
      </c>
      <c r="BF56" s="201">
        <v>0.96599999999999997</v>
      </c>
      <c r="BG56" s="202">
        <v>1</v>
      </c>
    </row>
    <row r="57" spans="1:59" ht="14.1" customHeight="1" x14ac:dyDescent="0.2">
      <c r="A57" s="291"/>
      <c r="B57" s="75" t="str">
        <f t="shared" ca="1" si="4"/>
        <v>Current</v>
      </c>
      <c r="C57" s="363">
        <v>68964017</v>
      </c>
      <c r="D57" s="266">
        <v>44389</v>
      </c>
      <c r="E57" s="381" t="s">
        <v>415</v>
      </c>
      <c r="F57" s="382">
        <v>1.0029999999999999</v>
      </c>
      <c r="G57" s="382">
        <v>1.004</v>
      </c>
      <c r="H57" s="173"/>
      <c r="I57" s="173"/>
      <c r="J57" s="173"/>
      <c r="K57" s="173"/>
      <c r="L57" s="173"/>
      <c r="M57" s="333"/>
      <c r="N57" s="145"/>
      <c r="O57" s="146" t="s">
        <v>138</v>
      </c>
      <c r="P57" s="155" t="s">
        <v>156</v>
      </c>
      <c r="Q57" s="215">
        <v>6</v>
      </c>
      <c r="R57" s="139">
        <v>1.006</v>
      </c>
      <c r="S57" s="56"/>
      <c r="T57" s="355"/>
      <c r="U57" s="143" t="s">
        <v>8</v>
      </c>
      <c r="V57" s="384"/>
      <c r="W57" s="152">
        <v>0.72299999999999998</v>
      </c>
      <c r="X57" s="145"/>
      <c r="Y57" s="87">
        <v>8</v>
      </c>
      <c r="Z57" s="71">
        <v>0.999</v>
      </c>
      <c r="AA57" s="71">
        <v>0.998</v>
      </c>
      <c r="AB57" s="71">
        <v>0.997</v>
      </c>
      <c r="AC57" s="71">
        <v>0.997</v>
      </c>
      <c r="AD57" s="71">
        <v>0.998</v>
      </c>
      <c r="AE57" s="71">
        <v>0.997</v>
      </c>
      <c r="AF57" s="72"/>
      <c r="AG57" s="42"/>
      <c r="AH57" s="530"/>
      <c r="AI57" s="199">
        <v>0.8</v>
      </c>
      <c r="AJ57" s="200" t="s">
        <v>122</v>
      </c>
      <c r="AK57" s="201">
        <v>1.0429999999999999</v>
      </c>
      <c r="AL57" s="201">
        <v>1.024</v>
      </c>
      <c r="AM57" s="102">
        <v>1.0760000000000001</v>
      </c>
      <c r="AN57" s="201" t="s">
        <v>122</v>
      </c>
      <c r="AO57" s="201" t="s">
        <v>122</v>
      </c>
      <c r="AP57" s="201" t="s">
        <v>122</v>
      </c>
      <c r="AQ57" s="201" t="s">
        <v>122</v>
      </c>
      <c r="AR57" s="201" t="s">
        <v>122</v>
      </c>
      <c r="AS57" s="201" t="s">
        <v>122</v>
      </c>
      <c r="AT57" s="103">
        <v>1.0620000000000001</v>
      </c>
      <c r="AU57" s="201">
        <v>0.95199999999999996</v>
      </c>
      <c r="AV57" s="201">
        <v>0.99099999999999999</v>
      </c>
      <c r="AW57" s="201">
        <v>0.995</v>
      </c>
      <c r="AX57" s="201" t="s">
        <v>122</v>
      </c>
      <c r="AY57" s="201">
        <v>0.97799999999999998</v>
      </c>
      <c r="AZ57" s="201" t="s">
        <v>122</v>
      </c>
      <c r="BA57" s="201">
        <v>0.97099999999999997</v>
      </c>
      <c r="BB57" s="201">
        <v>0.96799999999999997</v>
      </c>
      <c r="BC57" s="201">
        <v>1.0089999999999999</v>
      </c>
      <c r="BD57" s="201">
        <v>0.97699999999999998</v>
      </c>
      <c r="BE57" s="201">
        <v>0.99399999999999999</v>
      </c>
      <c r="BF57" s="201">
        <v>0.95099999999999996</v>
      </c>
      <c r="BG57" s="202">
        <v>1</v>
      </c>
    </row>
    <row r="58" spans="1:59" ht="14.1" customHeight="1" x14ac:dyDescent="0.2">
      <c r="A58" s="291"/>
      <c r="B58" s="75" t="str">
        <f t="shared" ca="1" si="4"/>
        <v>Expired!</v>
      </c>
      <c r="C58" s="363" t="s">
        <v>64</v>
      </c>
      <c r="D58" s="266">
        <v>43473</v>
      </c>
      <c r="E58" s="381" t="s">
        <v>66</v>
      </c>
      <c r="F58" s="382">
        <v>0.999</v>
      </c>
      <c r="G58" s="382">
        <v>0.999</v>
      </c>
      <c r="H58" s="173"/>
      <c r="I58" s="173"/>
      <c r="J58" s="173"/>
      <c r="K58" s="173"/>
      <c r="L58" s="173"/>
      <c r="M58" s="333"/>
      <c r="N58" s="145"/>
      <c r="O58" s="360">
        <v>6</v>
      </c>
      <c r="P58" s="375">
        <v>1.006984790364748</v>
      </c>
      <c r="Q58" s="360" t="s">
        <v>7</v>
      </c>
      <c r="R58" s="139">
        <v>1.006</v>
      </c>
      <c r="S58" s="56"/>
      <c r="T58" s="153" t="s">
        <v>69</v>
      </c>
      <c r="U58" s="346">
        <v>4</v>
      </c>
      <c r="V58" s="373"/>
      <c r="W58" s="359"/>
      <c r="X58" s="145"/>
      <c r="Y58" s="87">
        <v>10</v>
      </c>
      <c r="Z58" s="71">
        <v>0.99299999999999999</v>
      </c>
      <c r="AA58" s="71">
        <v>0.99199999999999999</v>
      </c>
      <c r="AB58" s="71">
        <v>0.98599999999999999</v>
      </c>
      <c r="AC58" s="71">
        <v>0.98799999999999999</v>
      </c>
      <c r="AD58" s="71">
        <v>0.99299999999999999</v>
      </c>
      <c r="AE58" s="71">
        <v>0.98599999999999999</v>
      </c>
      <c r="AF58" s="72"/>
      <c r="AG58" s="42"/>
      <c r="AH58" s="530"/>
      <c r="AI58" s="199">
        <v>0.6</v>
      </c>
      <c r="AJ58" s="200" t="s">
        <v>122</v>
      </c>
      <c r="AK58" s="102">
        <v>1.071</v>
      </c>
      <c r="AL58" s="201">
        <v>1.044</v>
      </c>
      <c r="AM58" s="201" t="s">
        <v>122</v>
      </c>
      <c r="AN58" s="201" t="s">
        <v>122</v>
      </c>
      <c r="AO58" s="201" t="s">
        <v>122</v>
      </c>
      <c r="AP58" s="201" t="s">
        <v>122</v>
      </c>
      <c r="AQ58" s="201" t="s">
        <v>122</v>
      </c>
      <c r="AR58" s="201" t="s">
        <v>122</v>
      </c>
      <c r="AS58" s="201" t="s">
        <v>122</v>
      </c>
      <c r="AT58" s="202" t="s">
        <v>122</v>
      </c>
      <c r="AU58" s="102">
        <v>0.94099999999999995</v>
      </c>
      <c r="AV58" s="201">
        <v>0.98199999999999998</v>
      </c>
      <c r="AW58" s="201">
        <v>0.97799999999999998</v>
      </c>
      <c r="AX58" s="201" t="s">
        <v>122</v>
      </c>
      <c r="AY58" s="201">
        <v>0.96299999999999997</v>
      </c>
      <c r="AZ58" s="201" t="s">
        <v>122</v>
      </c>
      <c r="BA58" s="201">
        <v>0.95599999999999996</v>
      </c>
      <c r="BB58" s="201">
        <v>0.95499999999999996</v>
      </c>
      <c r="BC58" s="201">
        <v>1.026</v>
      </c>
      <c r="BD58" s="201">
        <v>0.96799999999999997</v>
      </c>
      <c r="BE58" s="201">
        <v>1.0029999999999999</v>
      </c>
      <c r="BF58" s="201" t="s">
        <v>122</v>
      </c>
      <c r="BG58" s="202">
        <v>1</v>
      </c>
    </row>
    <row r="59" spans="1:59" ht="13.5" customHeight="1" x14ac:dyDescent="0.2">
      <c r="A59" s="291"/>
      <c r="B59" s="75" t="str">
        <f t="shared" ca="1" si="4"/>
        <v>Expired!</v>
      </c>
      <c r="C59" s="363" t="s">
        <v>65</v>
      </c>
      <c r="D59" s="266">
        <v>43473</v>
      </c>
      <c r="E59" s="381" t="s">
        <v>67</v>
      </c>
      <c r="F59" s="382">
        <v>0.999</v>
      </c>
      <c r="G59" s="382">
        <v>0.999</v>
      </c>
      <c r="H59" s="173"/>
      <c r="I59" s="173"/>
      <c r="J59" s="173"/>
      <c r="K59" s="173"/>
      <c r="L59" s="173"/>
      <c r="M59" s="333"/>
      <c r="N59" s="145"/>
      <c r="O59" s="360">
        <v>10</v>
      </c>
      <c r="P59" s="161">
        <v>1.011493660206306</v>
      </c>
      <c r="Q59" s="360">
        <v>10</v>
      </c>
      <c r="R59" s="139">
        <v>1</v>
      </c>
      <c r="S59" s="56"/>
      <c r="T59" s="216" t="s">
        <v>157</v>
      </c>
      <c r="U59" s="326">
        <v>6</v>
      </c>
      <c r="V59" s="376"/>
      <c r="W59" s="333"/>
      <c r="X59" s="145"/>
      <c r="Y59" s="87">
        <v>13</v>
      </c>
      <c r="Z59" s="71">
        <v>0.98399999999999999</v>
      </c>
      <c r="AA59" s="71">
        <v>0.98399999999999999</v>
      </c>
      <c r="AB59" s="71">
        <v>0.97199999999999998</v>
      </c>
      <c r="AC59" s="71">
        <v>0.97599999999999998</v>
      </c>
      <c r="AD59" s="71">
        <v>0.98399999999999999</v>
      </c>
      <c r="AE59" s="71">
        <v>0.97199999999999998</v>
      </c>
      <c r="AF59" s="72"/>
      <c r="AG59" s="42"/>
      <c r="AH59" s="530"/>
      <c r="AI59" s="199">
        <v>0.5</v>
      </c>
      <c r="AJ59" s="200" t="s">
        <v>122</v>
      </c>
      <c r="AK59" s="201" t="s">
        <v>122</v>
      </c>
      <c r="AL59" s="102">
        <v>1.0620000000000001</v>
      </c>
      <c r="AM59" s="201" t="s">
        <v>122</v>
      </c>
      <c r="AN59" s="201" t="s">
        <v>122</v>
      </c>
      <c r="AO59" s="201" t="s">
        <v>122</v>
      </c>
      <c r="AP59" s="201" t="s">
        <v>122</v>
      </c>
      <c r="AQ59" s="201" t="s">
        <v>122</v>
      </c>
      <c r="AR59" s="201" t="s">
        <v>122</v>
      </c>
      <c r="AS59" s="201" t="s">
        <v>122</v>
      </c>
      <c r="AT59" s="202" t="s">
        <v>122</v>
      </c>
      <c r="AU59" s="201" t="s">
        <v>122</v>
      </c>
      <c r="AV59" s="201">
        <v>0.97599999999999998</v>
      </c>
      <c r="AW59" s="201">
        <v>0.96599999999999997</v>
      </c>
      <c r="AX59" s="201" t="s">
        <v>122</v>
      </c>
      <c r="AY59" s="201">
        <v>0.95299999999999996</v>
      </c>
      <c r="AZ59" s="201" t="s">
        <v>122</v>
      </c>
      <c r="BA59" s="102">
        <v>0.94699999999999995</v>
      </c>
      <c r="BB59" s="102">
        <v>0.94699999999999995</v>
      </c>
      <c r="BC59" s="201">
        <v>1.0449999999999999</v>
      </c>
      <c r="BD59" s="201">
        <v>0.96199999999999997</v>
      </c>
      <c r="BE59" s="201">
        <v>1.0149999999999999</v>
      </c>
      <c r="BF59" s="201" t="s">
        <v>122</v>
      </c>
      <c r="BG59" s="202">
        <v>1</v>
      </c>
    </row>
    <row r="60" spans="1:59" ht="14.1" customHeight="1" x14ac:dyDescent="0.2">
      <c r="A60" s="291"/>
      <c r="B60" s="75" t="str">
        <f t="shared" ca="1" si="4"/>
        <v>Current</v>
      </c>
      <c r="C60" s="363" t="s">
        <v>354</v>
      </c>
      <c r="D60" s="266">
        <v>44313</v>
      </c>
      <c r="E60" s="265" t="s">
        <v>416</v>
      </c>
      <c r="F60" s="364">
        <v>1.002</v>
      </c>
      <c r="G60" s="382">
        <v>1</v>
      </c>
      <c r="H60" s="173"/>
      <c r="I60" s="173"/>
      <c r="J60" s="173"/>
      <c r="K60" s="173"/>
      <c r="L60" s="173"/>
      <c r="M60" s="333"/>
      <c r="N60" s="145"/>
      <c r="O60" s="360">
        <v>15</v>
      </c>
      <c r="P60" s="161">
        <v>1.0118463530389175</v>
      </c>
      <c r="Q60" s="157" t="s">
        <v>8</v>
      </c>
      <c r="R60" s="139">
        <v>1.0089999999999999</v>
      </c>
      <c r="S60" s="56"/>
      <c r="T60" s="216"/>
      <c r="U60" s="326">
        <v>8</v>
      </c>
      <c r="V60" s="376"/>
      <c r="W60" s="333"/>
      <c r="X60" s="145"/>
      <c r="Y60" s="87">
        <v>16</v>
      </c>
      <c r="Z60" s="71">
        <v>0.97599999999999998</v>
      </c>
      <c r="AA60" s="71">
        <v>0.97599999999999998</v>
      </c>
      <c r="AB60" s="71">
        <v>0.96099999999999997</v>
      </c>
      <c r="AC60" s="71">
        <v>0.96499999999999997</v>
      </c>
      <c r="AD60" s="71">
        <v>0.97599999999999998</v>
      </c>
      <c r="AE60" s="71">
        <v>0.96099999999999997</v>
      </c>
      <c r="AF60" s="72"/>
      <c r="AG60" s="42"/>
      <c r="AH60" s="531"/>
      <c r="AI60" s="204">
        <v>0.4</v>
      </c>
      <c r="AJ60" s="205" t="s">
        <v>122</v>
      </c>
      <c r="AK60" s="206" t="s">
        <v>122</v>
      </c>
      <c r="AL60" s="206" t="s">
        <v>122</v>
      </c>
      <c r="AM60" s="206" t="s">
        <v>122</v>
      </c>
      <c r="AN60" s="206" t="s">
        <v>122</v>
      </c>
      <c r="AO60" s="206" t="s">
        <v>122</v>
      </c>
      <c r="AP60" s="206" t="s">
        <v>122</v>
      </c>
      <c r="AQ60" s="206" t="s">
        <v>122</v>
      </c>
      <c r="AR60" s="206" t="s">
        <v>122</v>
      </c>
      <c r="AS60" s="206" t="s">
        <v>122</v>
      </c>
      <c r="AT60" s="207" t="s">
        <v>122</v>
      </c>
      <c r="AU60" s="206" t="s">
        <v>122</v>
      </c>
      <c r="AV60" s="206">
        <v>0.96899999999999997</v>
      </c>
      <c r="AW60" s="206">
        <v>0.95099999999999996</v>
      </c>
      <c r="AX60" s="206" t="s">
        <v>122</v>
      </c>
      <c r="AY60" s="104">
        <v>0.94199999999999995</v>
      </c>
      <c r="AZ60" s="206" t="s">
        <v>122</v>
      </c>
      <c r="BA60" s="206" t="s">
        <v>122</v>
      </c>
      <c r="BB60" s="206" t="s">
        <v>122</v>
      </c>
      <c r="BC60" s="104">
        <v>1.079</v>
      </c>
      <c r="BD60" s="206">
        <v>0.95499999999999996</v>
      </c>
      <c r="BE60" s="206">
        <v>1.038</v>
      </c>
      <c r="BF60" s="206" t="s">
        <v>122</v>
      </c>
      <c r="BG60" s="207">
        <v>1</v>
      </c>
    </row>
    <row r="61" spans="1:59" ht="14.1" customHeight="1" x14ac:dyDescent="0.2">
      <c r="A61" s="291"/>
      <c r="B61" s="75" t="str">
        <f t="shared" ca="1" si="4"/>
        <v>---</v>
      </c>
      <c r="C61" s="363"/>
      <c r="D61" s="266"/>
      <c r="E61" s="265"/>
      <c r="F61" s="364"/>
      <c r="G61" s="382"/>
      <c r="H61" s="173"/>
      <c r="I61" s="173"/>
      <c r="J61" s="173"/>
      <c r="K61" s="173"/>
      <c r="L61" s="173"/>
      <c r="M61" s="333"/>
      <c r="N61" s="145"/>
      <c r="O61" s="360">
        <v>18</v>
      </c>
      <c r="P61" s="161">
        <v>1.0121990458715289</v>
      </c>
      <c r="Q61" s="145"/>
      <c r="R61" s="56"/>
      <c r="S61" s="56"/>
      <c r="T61" s="216"/>
      <c r="U61" s="326">
        <v>10</v>
      </c>
      <c r="V61" s="376"/>
      <c r="W61" s="333"/>
      <c r="X61" s="145"/>
      <c r="Y61" s="95">
        <v>20</v>
      </c>
      <c r="Z61" s="78">
        <v>0.96599999999999997</v>
      </c>
      <c r="AA61" s="78">
        <v>0.96499999999999997</v>
      </c>
      <c r="AB61" s="78">
        <v>0.94799999999999995</v>
      </c>
      <c r="AC61" s="78">
        <v>0.95199999999999996</v>
      </c>
      <c r="AD61" s="78">
        <v>0.96499999999999997</v>
      </c>
      <c r="AE61" s="78">
        <v>0.94799999999999995</v>
      </c>
      <c r="AF61" s="79"/>
      <c r="AG61" s="42"/>
      <c r="AH61" s="42"/>
      <c r="AI61" s="42"/>
      <c r="AJ61" s="42"/>
      <c r="AK61" s="42"/>
      <c r="AL61" s="42"/>
      <c r="AM61" s="42"/>
      <c r="AN61" s="42"/>
      <c r="AO61" s="42"/>
      <c r="AP61" s="42"/>
      <c r="AQ61" s="42"/>
      <c r="AR61" s="42"/>
      <c r="AS61" s="42"/>
      <c r="AT61" s="42"/>
      <c r="AU61" s="42"/>
      <c r="AV61" s="42"/>
      <c r="AW61" s="42"/>
      <c r="AX61" s="42"/>
      <c r="AY61" s="42"/>
      <c r="AZ61" s="42"/>
      <c r="BA61" s="42"/>
      <c r="BB61" s="42"/>
      <c r="BC61" s="42"/>
      <c r="BD61" s="42"/>
      <c r="BE61" s="42"/>
      <c r="BF61" s="42"/>
      <c r="BG61" s="42"/>
    </row>
    <row r="62" spans="1:59" ht="14.1" customHeight="1" x14ac:dyDescent="0.25">
      <c r="A62" s="291"/>
      <c r="B62" s="75" t="str">
        <f t="shared" ca="1" si="4"/>
        <v>---</v>
      </c>
      <c r="C62" s="363"/>
      <c r="D62" s="266"/>
      <c r="E62" s="265"/>
      <c r="F62" s="364"/>
      <c r="G62" s="382"/>
      <c r="H62" s="173"/>
      <c r="I62" s="173"/>
      <c r="J62" s="173"/>
      <c r="K62" s="173"/>
      <c r="L62" s="173"/>
      <c r="M62" s="333"/>
      <c r="N62" s="145"/>
      <c r="O62" s="360" t="s">
        <v>7</v>
      </c>
      <c r="P62" s="161">
        <v>1.0049999999999999</v>
      </c>
      <c r="Q62" s="145"/>
      <c r="R62" s="56"/>
      <c r="S62" s="56"/>
      <c r="T62" s="216"/>
      <c r="U62" s="166">
        <v>12</v>
      </c>
      <c r="V62" s="385"/>
      <c r="W62" s="333"/>
      <c r="X62" s="145"/>
      <c r="Y62" s="51"/>
      <c r="Z62" s="51"/>
      <c r="AA62" s="51"/>
      <c r="AB62" s="51"/>
      <c r="AC62" s="51"/>
      <c r="AD62" s="51"/>
      <c r="AE62" s="51"/>
      <c r="AF62" s="51"/>
      <c r="AG62" s="42"/>
      <c r="AH62" s="217" t="s">
        <v>158</v>
      </c>
      <c r="AI62" s="73"/>
      <c r="AJ62" s="211" t="s">
        <v>159</v>
      </c>
      <c r="AK62" s="73"/>
      <c r="AL62" s="73"/>
      <c r="AM62" s="73"/>
      <c r="AN62" s="73"/>
      <c r="AO62" s="73"/>
      <c r="AP62" s="73"/>
      <c r="AQ62" s="73"/>
      <c r="AR62" s="73"/>
      <c r="AS62" s="73"/>
      <c r="AT62" s="73"/>
      <c r="AU62" s="73"/>
      <c r="AV62" s="73"/>
      <c r="AW62" s="73"/>
      <c r="AX62" s="73"/>
      <c r="AY62" s="73"/>
      <c r="AZ62" s="73"/>
      <c r="BA62" s="73"/>
      <c r="BB62" s="73"/>
      <c r="BC62" s="73"/>
      <c r="BD62" s="73"/>
      <c r="BE62" s="73"/>
      <c r="BF62" s="73"/>
      <c r="BG62" s="188"/>
    </row>
    <row r="63" spans="1:59" ht="14.1" customHeight="1" x14ac:dyDescent="0.2">
      <c r="A63" s="291"/>
      <c r="B63" s="75" t="str">
        <f t="shared" ca="1" si="4"/>
        <v>---</v>
      </c>
      <c r="C63" s="363"/>
      <c r="D63" s="266"/>
      <c r="E63" s="265"/>
      <c r="F63" s="364"/>
      <c r="G63" s="382"/>
      <c r="H63" s="173"/>
      <c r="I63" s="173"/>
      <c r="J63" s="173"/>
      <c r="K63" s="173"/>
      <c r="L63" s="173"/>
      <c r="M63" s="333"/>
      <c r="N63" s="145"/>
      <c r="O63" s="157" t="s">
        <v>8</v>
      </c>
      <c r="P63" s="165">
        <v>1.01</v>
      </c>
      <c r="Q63" s="145"/>
      <c r="R63" s="56"/>
      <c r="S63" s="56"/>
      <c r="T63" s="216"/>
      <c r="U63" s="326">
        <v>15</v>
      </c>
      <c r="V63" s="385"/>
      <c r="W63" s="386"/>
      <c r="X63" s="145"/>
      <c r="Y63" s="43" t="s">
        <v>160</v>
      </c>
      <c r="Z63" s="43" t="s">
        <v>161</v>
      </c>
      <c r="AA63" s="43"/>
      <c r="AB63" s="43"/>
      <c r="AC63" s="51"/>
      <c r="AD63" s="51"/>
      <c r="AE63" s="51"/>
      <c r="AF63" s="51"/>
      <c r="AG63" s="40"/>
      <c r="AH63" s="512" t="s">
        <v>90</v>
      </c>
      <c r="AI63" s="513"/>
      <c r="AJ63" s="212" t="str">
        <f t="shared" ref="AJ63:BG63" si="5">IF(AJ$6="","",AJ$6)</f>
        <v/>
      </c>
      <c r="AK63" s="213" t="str">
        <f t="shared" si="5"/>
        <v/>
      </c>
      <c r="AL63" s="213" t="str">
        <f t="shared" si="5"/>
        <v>CC01</v>
      </c>
      <c r="AM63" s="213" t="str">
        <f t="shared" si="5"/>
        <v>CC04</v>
      </c>
      <c r="AN63" s="213" t="str">
        <f t="shared" si="5"/>
        <v>CC13</v>
      </c>
      <c r="AO63" s="213" t="str">
        <f t="shared" si="5"/>
        <v/>
      </c>
      <c r="AP63" s="213" t="str">
        <f t="shared" si="5"/>
        <v/>
      </c>
      <c r="AQ63" s="213" t="str">
        <f t="shared" si="5"/>
        <v/>
      </c>
      <c r="AR63" s="213" t="str">
        <f t="shared" si="5"/>
        <v/>
      </c>
      <c r="AS63" s="213" t="str">
        <f t="shared" si="5"/>
        <v/>
      </c>
      <c r="AT63" s="214">
        <f t="shared" si="5"/>
        <v>31016</v>
      </c>
      <c r="AU63" s="213" t="str">
        <f t="shared" si="5"/>
        <v/>
      </c>
      <c r="AV63" s="213" t="str">
        <f t="shared" si="5"/>
        <v/>
      </c>
      <c r="AW63" s="213" t="str">
        <f t="shared" si="5"/>
        <v/>
      </c>
      <c r="AX63" s="213" t="str">
        <f t="shared" si="5"/>
        <v/>
      </c>
      <c r="AY63" s="213" t="str">
        <f t="shared" si="5"/>
        <v/>
      </c>
      <c r="AZ63" s="213">
        <f t="shared" si="5"/>
        <v>60016</v>
      </c>
      <c r="BA63" s="213">
        <f t="shared" si="5"/>
        <v>60017</v>
      </c>
      <c r="BB63" s="213">
        <f t="shared" si="5"/>
        <v>60018</v>
      </c>
      <c r="BC63" s="213" t="str">
        <f t="shared" si="5"/>
        <v/>
      </c>
      <c r="BD63" s="213">
        <f t="shared" si="5"/>
        <v>60019</v>
      </c>
      <c r="BE63" s="213" t="str">
        <f t="shared" si="5"/>
        <v/>
      </c>
      <c r="BF63" s="213" t="str">
        <f t="shared" si="5"/>
        <v/>
      </c>
      <c r="BG63" s="214" t="str">
        <f t="shared" si="5"/>
        <v/>
      </c>
    </row>
    <row r="64" spans="1:59" ht="14.1" customHeight="1" x14ac:dyDescent="0.2">
      <c r="A64" s="292" t="s">
        <v>29</v>
      </c>
      <c r="B64" s="107" t="str">
        <f t="shared" ca="1" si="4"/>
        <v>Current</v>
      </c>
      <c r="C64" s="387" t="s">
        <v>31</v>
      </c>
      <c r="D64" s="262">
        <v>43843</v>
      </c>
      <c r="E64" s="377" t="s">
        <v>325</v>
      </c>
      <c r="F64" s="378">
        <v>0.998</v>
      </c>
      <c r="G64" s="378">
        <v>0.999</v>
      </c>
      <c r="H64" s="378">
        <v>0.999</v>
      </c>
      <c r="I64" s="378">
        <v>0.999</v>
      </c>
      <c r="J64" s="378">
        <v>0.998</v>
      </c>
      <c r="K64" s="378">
        <v>0.998</v>
      </c>
      <c r="L64" s="378">
        <v>0.999</v>
      </c>
      <c r="M64" s="388">
        <v>0.997</v>
      </c>
      <c r="N64" s="145"/>
      <c r="O64" s="342" t="s">
        <v>162</v>
      </c>
      <c r="P64" s="326"/>
      <c r="Q64" s="145" t="s">
        <v>287</v>
      </c>
      <c r="R64" s="56"/>
      <c r="S64" s="56"/>
      <c r="T64" s="216"/>
      <c r="U64" s="54">
        <v>18</v>
      </c>
      <c r="V64" s="385"/>
      <c r="W64" s="386"/>
      <c r="X64" s="145"/>
      <c r="Y64" s="108" t="s">
        <v>163</v>
      </c>
      <c r="Z64" s="109" t="s">
        <v>164</v>
      </c>
      <c r="AA64" s="109" t="s">
        <v>165</v>
      </c>
      <c r="AB64" s="110" t="s">
        <v>166</v>
      </c>
      <c r="AC64" s="49"/>
      <c r="AD64" s="49"/>
      <c r="AE64" s="49"/>
      <c r="AF64" s="49"/>
      <c r="AG64" s="40"/>
      <c r="AH64" s="512" t="s">
        <v>93</v>
      </c>
      <c r="AI64" s="513"/>
      <c r="AJ64" s="514" t="s">
        <v>94</v>
      </c>
      <c r="AK64" s="517" t="s">
        <v>95</v>
      </c>
      <c r="AL64" s="520" t="s">
        <v>96</v>
      </c>
      <c r="AM64" s="520" t="s">
        <v>97</v>
      </c>
      <c r="AN64" s="520" t="s">
        <v>98</v>
      </c>
      <c r="AO64" s="517" t="s">
        <v>99</v>
      </c>
      <c r="AP64" s="517" t="s">
        <v>100</v>
      </c>
      <c r="AQ64" s="517" t="s">
        <v>101</v>
      </c>
      <c r="AR64" s="517" t="s">
        <v>102</v>
      </c>
      <c r="AS64" s="517" t="s">
        <v>103</v>
      </c>
      <c r="AT64" s="532" t="s">
        <v>104</v>
      </c>
      <c r="AU64" s="514" t="s">
        <v>105</v>
      </c>
      <c r="AV64" s="517" t="s">
        <v>106</v>
      </c>
      <c r="AW64" s="517" t="s">
        <v>107</v>
      </c>
      <c r="AX64" s="517" t="s">
        <v>108</v>
      </c>
      <c r="AY64" s="517" t="s">
        <v>109</v>
      </c>
      <c r="AZ64" s="520" t="s">
        <v>110</v>
      </c>
      <c r="BA64" s="520" t="s">
        <v>111</v>
      </c>
      <c r="BB64" s="520" t="s">
        <v>112</v>
      </c>
      <c r="BC64" s="517" t="s">
        <v>113</v>
      </c>
      <c r="BD64" s="535" t="s">
        <v>114</v>
      </c>
      <c r="BE64" s="517" t="s">
        <v>115</v>
      </c>
      <c r="BF64" s="517" t="s">
        <v>116</v>
      </c>
      <c r="BG64" s="532" t="s">
        <v>117</v>
      </c>
    </row>
    <row r="65" spans="1:59" ht="14.1" customHeight="1" x14ac:dyDescent="0.2">
      <c r="A65" s="293"/>
      <c r="B65" s="111" t="str">
        <f t="shared" ca="1" si="4"/>
        <v>Current</v>
      </c>
      <c r="C65" s="389" t="s">
        <v>353</v>
      </c>
      <c r="D65" s="421">
        <v>44495</v>
      </c>
      <c r="E65" s="418" t="s">
        <v>430</v>
      </c>
      <c r="F65" s="419">
        <v>0.997</v>
      </c>
      <c r="G65" s="419">
        <v>0.997</v>
      </c>
      <c r="H65" s="419">
        <v>0.999</v>
      </c>
      <c r="I65" s="419">
        <v>1.0009999999999999</v>
      </c>
      <c r="J65" s="419">
        <v>1</v>
      </c>
      <c r="K65" s="419">
        <v>0.998</v>
      </c>
      <c r="L65" s="419">
        <v>0.999</v>
      </c>
      <c r="M65" s="420">
        <v>0.998</v>
      </c>
      <c r="N65" s="145"/>
      <c r="O65" s="146" t="s">
        <v>138</v>
      </c>
      <c r="P65" s="372" t="s">
        <v>167</v>
      </c>
      <c r="Q65" s="146"/>
      <c r="R65" s="144" t="s">
        <v>288</v>
      </c>
      <c r="S65" s="142" t="s">
        <v>289</v>
      </c>
      <c r="T65" s="216"/>
      <c r="U65" s="54">
        <v>20</v>
      </c>
      <c r="V65" s="385"/>
      <c r="W65" s="386"/>
      <c r="X65" s="145"/>
      <c r="Y65" s="112">
        <v>2</v>
      </c>
      <c r="Z65" s="52">
        <v>2.3370000000000002</v>
      </c>
      <c r="AA65" s="52">
        <v>-3.6360000000000001</v>
      </c>
      <c r="AB65" s="113">
        <v>2.2989999999999999</v>
      </c>
      <c r="AC65" s="51"/>
      <c r="AD65" s="49"/>
      <c r="AE65" s="49"/>
      <c r="AF65" s="49"/>
      <c r="AG65" s="40"/>
      <c r="AH65" s="192" t="s">
        <v>168</v>
      </c>
      <c r="AI65" s="193">
        <v>6</v>
      </c>
      <c r="AJ65" s="515"/>
      <c r="AK65" s="518"/>
      <c r="AL65" s="521"/>
      <c r="AM65" s="521"/>
      <c r="AN65" s="521"/>
      <c r="AO65" s="518"/>
      <c r="AP65" s="518"/>
      <c r="AQ65" s="518"/>
      <c r="AR65" s="518"/>
      <c r="AS65" s="518"/>
      <c r="AT65" s="533"/>
      <c r="AU65" s="515"/>
      <c r="AV65" s="518"/>
      <c r="AW65" s="518"/>
      <c r="AX65" s="518"/>
      <c r="AY65" s="518"/>
      <c r="AZ65" s="521"/>
      <c r="BA65" s="521"/>
      <c r="BB65" s="521"/>
      <c r="BC65" s="518"/>
      <c r="BD65" s="536"/>
      <c r="BE65" s="518"/>
      <c r="BF65" s="518"/>
      <c r="BG65" s="533"/>
    </row>
    <row r="66" spans="1:59" ht="14.1" customHeight="1" x14ac:dyDescent="0.2">
      <c r="A66" s="294"/>
      <c r="B66" s="111" t="str">
        <f t="shared" ca="1" si="4"/>
        <v>---</v>
      </c>
      <c r="C66" s="389"/>
      <c r="D66" s="266"/>
      <c r="E66" s="381"/>
      <c r="F66" s="382"/>
      <c r="G66" s="382"/>
      <c r="H66" s="382"/>
      <c r="I66" s="382"/>
      <c r="J66" s="382"/>
      <c r="K66" s="382"/>
      <c r="L66" s="382"/>
      <c r="M66" s="390"/>
      <c r="N66" s="145"/>
      <c r="O66" s="215" t="s">
        <v>7</v>
      </c>
      <c r="P66" s="159">
        <v>1.0029999999999999</v>
      </c>
      <c r="Q66" s="147" t="s">
        <v>7</v>
      </c>
      <c r="R66" s="415">
        <v>1</v>
      </c>
      <c r="S66" s="374">
        <v>1</v>
      </c>
      <c r="T66" s="216"/>
      <c r="U66" s="166">
        <v>22</v>
      </c>
      <c r="V66" s="385"/>
      <c r="W66" s="386"/>
      <c r="X66" s="145"/>
      <c r="Y66" s="112">
        <v>2.5</v>
      </c>
      <c r="Z66" s="52">
        <v>1.474</v>
      </c>
      <c r="AA66" s="52">
        <v>-1.587</v>
      </c>
      <c r="AB66" s="113">
        <v>1.1140000000000001</v>
      </c>
      <c r="AC66" s="51"/>
      <c r="AD66" s="49"/>
      <c r="AE66" s="51"/>
      <c r="AF66" s="51"/>
      <c r="AG66" s="40"/>
      <c r="AH66" s="226" t="s">
        <v>120</v>
      </c>
      <c r="AI66" s="193">
        <v>1.5</v>
      </c>
      <c r="AJ66" s="516"/>
      <c r="AK66" s="519"/>
      <c r="AL66" s="522"/>
      <c r="AM66" s="522"/>
      <c r="AN66" s="522"/>
      <c r="AO66" s="519"/>
      <c r="AP66" s="519"/>
      <c r="AQ66" s="519"/>
      <c r="AR66" s="519"/>
      <c r="AS66" s="519"/>
      <c r="AT66" s="534"/>
      <c r="AU66" s="516"/>
      <c r="AV66" s="519"/>
      <c r="AW66" s="519"/>
      <c r="AX66" s="519"/>
      <c r="AY66" s="519"/>
      <c r="AZ66" s="522"/>
      <c r="BA66" s="522"/>
      <c r="BB66" s="522"/>
      <c r="BC66" s="519"/>
      <c r="BD66" s="537"/>
      <c r="BE66" s="519"/>
      <c r="BF66" s="519"/>
      <c r="BG66" s="534"/>
    </row>
    <row r="67" spans="1:59" ht="14.1" customHeight="1" x14ac:dyDescent="0.2">
      <c r="A67" s="295"/>
      <c r="B67" s="114" t="str">
        <f t="shared" ca="1" si="4"/>
        <v>---</v>
      </c>
      <c r="C67" s="391"/>
      <c r="D67" s="336"/>
      <c r="E67" s="392"/>
      <c r="F67" s="393"/>
      <c r="G67" s="393"/>
      <c r="H67" s="393"/>
      <c r="I67" s="393"/>
      <c r="J67" s="393"/>
      <c r="K67" s="393"/>
      <c r="L67" s="393"/>
      <c r="M67" s="394"/>
      <c r="N67" s="145"/>
      <c r="O67" s="360" t="s">
        <v>8</v>
      </c>
      <c r="P67" s="149">
        <v>1.0044999999999999</v>
      </c>
      <c r="Q67" s="353" t="s">
        <v>8</v>
      </c>
      <c r="R67" s="148">
        <v>1</v>
      </c>
      <c r="S67" s="149">
        <v>1</v>
      </c>
      <c r="T67" s="355"/>
      <c r="U67" s="395"/>
      <c r="V67" s="175"/>
      <c r="W67" s="396"/>
      <c r="X67" s="145"/>
      <c r="Y67" s="112">
        <v>3</v>
      </c>
      <c r="Z67" s="52">
        <v>1.198</v>
      </c>
      <c r="AA67" s="52">
        <v>-0.875</v>
      </c>
      <c r="AB67" s="113">
        <v>0.67700000000000005</v>
      </c>
      <c r="AC67" s="51"/>
      <c r="AD67" s="49"/>
      <c r="AE67" s="35"/>
      <c r="AF67" s="35"/>
      <c r="AG67" s="40"/>
      <c r="AH67" s="538" t="s">
        <v>169</v>
      </c>
      <c r="AI67" s="194">
        <v>5</v>
      </c>
      <c r="AJ67" s="195">
        <v>1</v>
      </c>
      <c r="AK67" s="196">
        <v>1</v>
      </c>
      <c r="AL67" s="196">
        <v>1</v>
      </c>
      <c r="AM67" s="196">
        <v>1</v>
      </c>
      <c r="AN67" s="196">
        <v>1</v>
      </c>
      <c r="AO67" s="196">
        <v>1</v>
      </c>
      <c r="AP67" s="196">
        <v>1</v>
      </c>
      <c r="AQ67" s="196">
        <v>1</v>
      </c>
      <c r="AR67" s="196">
        <v>1</v>
      </c>
      <c r="AS67" s="196">
        <v>1</v>
      </c>
      <c r="AT67" s="197">
        <v>1</v>
      </c>
      <c r="AU67" s="196">
        <v>1</v>
      </c>
      <c r="AV67" s="196">
        <v>1.0009999999999999</v>
      </c>
      <c r="AW67" s="196">
        <v>1.0009999999999999</v>
      </c>
      <c r="AX67" s="196">
        <v>1</v>
      </c>
      <c r="AY67" s="196">
        <v>1.0009999999999999</v>
      </c>
      <c r="AZ67" s="196">
        <v>1</v>
      </c>
      <c r="BA67" s="196">
        <v>1</v>
      </c>
      <c r="BB67" s="196">
        <v>1</v>
      </c>
      <c r="BC67" s="196">
        <v>1</v>
      </c>
      <c r="BD67" s="198">
        <v>1</v>
      </c>
      <c r="BE67" s="196">
        <v>1</v>
      </c>
      <c r="BF67" s="196">
        <v>1</v>
      </c>
      <c r="BG67" s="197">
        <v>1</v>
      </c>
    </row>
    <row r="68" spans="1:59" ht="14.1" customHeight="1" x14ac:dyDescent="0.2">
      <c r="A68" s="51"/>
      <c r="B68" s="51"/>
      <c r="C68" s="145"/>
      <c r="D68" s="145"/>
      <c r="E68" s="145"/>
      <c r="F68" s="145"/>
      <c r="G68" s="145"/>
      <c r="H68" s="145"/>
      <c r="I68" s="97"/>
      <c r="J68" s="145"/>
      <c r="K68" s="145"/>
      <c r="L68" s="145"/>
      <c r="M68" s="145"/>
      <c r="N68" s="145"/>
      <c r="O68" s="157" t="s">
        <v>352</v>
      </c>
      <c r="P68" s="165">
        <v>1.0029999999999999</v>
      </c>
      <c r="Q68" s="150" t="s">
        <v>352</v>
      </c>
      <c r="R68" s="151">
        <v>1</v>
      </c>
      <c r="S68" s="152">
        <v>1</v>
      </c>
      <c r="T68" s="145"/>
      <c r="U68" s="145"/>
      <c r="V68" s="145"/>
      <c r="W68" s="145"/>
      <c r="X68" s="145"/>
      <c r="Y68" s="112">
        <v>3.5</v>
      </c>
      <c r="Z68" s="52">
        <v>1.08</v>
      </c>
      <c r="AA68" s="52">
        <v>-0.54200000000000004</v>
      </c>
      <c r="AB68" s="113">
        <v>0.46300000000000002</v>
      </c>
      <c r="AC68" s="51"/>
      <c r="AD68" s="49"/>
      <c r="AE68" s="36"/>
      <c r="AF68" s="37"/>
      <c r="AG68" s="40"/>
      <c r="AH68" s="539"/>
      <c r="AI68" s="199">
        <v>4</v>
      </c>
      <c r="AJ68" s="200">
        <v>1</v>
      </c>
      <c r="AK68" s="201">
        <v>1</v>
      </c>
      <c r="AL68" s="201">
        <v>1.0009999999999999</v>
      </c>
      <c r="AM68" s="201">
        <v>1</v>
      </c>
      <c r="AN68" s="201">
        <v>1</v>
      </c>
      <c r="AO68" s="201">
        <v>1</v>
      </c>
      <c r="AP68" s="201">
        <v>1</v>
      </c>
      <c r="AQ68" s="201">
        <v>1.0009999999999999</v>
      </c>
      <c r="AR68" s="201">
        <v>1</v>
      </c>
      <c r="AS68" s="201">
        <v>1</v>
      </c>
      <c r="AT68" s="202">
        <v>1</v>
      </c>
      <c r="AU68" s="201">
        <v>0.999</v>
      </c>
      <c r="AV68" s="201">
        <v>1.0009999999999999</v>
      </c>
      <c r="AW68" s="201">
        <v>1.002</v>
      </c>
      <c r="AX68" s="201">
        <v>1</v>
      </c>
      <c r="AY68" s="201">
        <v>1.0009999999999999</v>
      </c>
      <c r="AZ68" s="201">
        <v>0.999</v>
      </c>
      <c r="BA68" s="201">
        <v>1.0009999999999999</v>
      </c>
      <c r="BB68" s="201">
        <v>1.0009999999999999</v>
      </c>
      <c r="BC68" s="201">
        <v>1</v>
      </c>
      <c r="BD68" s="201">
        <v>1</v>
      </c>
      <c r="BE68" s="201">
        <v>0.999</v>
      </c>
      <c r="BF68" s="201">
        <v>1</v>
      </c>
      <c r="BG68" s="202">
        <v>1</v>
      </c>
    </row>
    <row r="69" spans="1:59" ht="14.1" customHeight="1" x14ac:dyDescent="0.2">
      <c r="A69" s="51"/>
      <c r="B69" s="51"/>
      <c r="C69" s="59"/>
      <c r="D69" s="59"/>
      <c r="E69" s="59"/>
      <c r="F69" s="59"/>
      <c r="G69" s="59"/>
      <c r="H69" s="59"/>
      <c r="I69" s="59"/>
      <c r="J69" s="59"/>
      <c r="K69" s="59"/>
      <c r="L69" s="59"/>
      <c r="M69" s="59"/>
      <c r="N69" s="59"/>
      <c r="O69" s="59"/>
      <c r="P69" s="59"/>
      <c r="Q69" s="59"/>
      <c r="R69" s="59"/>
      <c r="S69" s="59"/>
      <c r="T69" s="59"/>
      <c r="U69" s="59"/>
      <c r="V69" s="59"/>
      <c r="W69" s="59"/>
      <c r="X69" s="145"/>
      <c r="Y69" s="112">
        <v>4</v>
      </c>
      <c r="Z69" s="52">
        <v>1.022</v>
      </c>
      <c r="AA69" s="52">
        <v>-0.36299999999999999</v>
      </c>
      <c r="AB69" s="113">
        <v>0.34100000000000003</v>
      </c>
      <c r="AC69" s="51"/>
      <c r="AD69" s="49"/>
      <c r="AE69" s="36"/>
      <c r="AF69" s="37"/>
      <c r="AG69" s="40"/>
      <c r="AH69" s="539"/>
      <c r="AI69" s="199">
        <v>3.5</v>
      </c>
      <c r="AJ69" s="200">
        <v>1</v>
      </c>
      <c r="AK69" s="201">
        <v>1</v>
      </c>
      <c r="AL69" s="201">
        <v>1.0009999999999999</v>
      </c>
      <c r="AM69" s="201">
        <v>1</v>
      </c>
      <c r="AN69" s="201">
        <v>1</v>
      </c>
      <c r="AO69" s="201">
        <v>1</v>
      </c>
      <c r="AP69" s="201">
        <v>1</v>
      </c>
      <c r="AQ69" s="201">
        <v>1.002</v>
      </c>
      <c r="AR69" s="201">
        <v>1</v>
      </c>
      <c r="AS69" s="201">
        <v>1.0009999999999999</v>
      </c>
      <c r="AT69" s="202">
        <v>1</v>
      </c>
      <c r="AU69" s="201">
        <v>0.998</v>
      </c>
      <c r="AV69" s="201">
        <v>1.0009999999999999</v>
      </c>
      <c r="AW69" s="201">
        <v>1.0029999999999999</v>
      </c>
      <c r="AX69" s="201">
        <v>0.999</v>
      </c>
      <c r="AY69" s="201">
        <v>1.002</v>
      </c>
      <c r="AZ69" s="201">
        <v>0.998</v>
      </c>
      <c r="BA69" s="201">
        <v>1.0009999999999999</v>
      </c>
      <c r="BB69" s="201">
        <v>1</v>
      </c>
      <c r="BC69" s="201">
        <v>1</v>
      </c>
      <c r="BD69" s="201">
        <v>1</v>
      </c>
      <c r="BE69" s="201">
        <v>0.999</v>
      </c>
      <c r="BF69" s="201">
        <v>1</v>
      </c>
      <c r="BG69" s="202">
        <v>1</v>
      </c>
    </row>
    <row r="70" spans="1:59" ht="14.1" customHeight="1" x14ac:dyDescent="0.25">
      <c r="A70" s="51"/>
      <c r="B70" s="51"/>
      <c r="C70" s="145"/>
      <c r="D70" s="145"/>
      <c r="E70" s="56"/>
      <c r="F70" s="59" t="s">
        <v>290</v>
      </c>
      <c r="G70" s="59"/>
      <c r="H70" s="59"/>
      <c r="I70" s="145"/>
      <c r="K70" s="397" t="s">
        <v>280</v>
      </c>
      <c r="L70" s="223"/>
      <c r="M70" s="223"/>
      <c r="N70" s="223"/>
      <c r="O70" s="56"/>
      <c r="P70" s="56"/>
      <c r="Q70" s="228" t="s">
        <v>291</v>
      </c>
      <c r="R70" s="56" t="s">
        <v>292</v>
      </c>
      <c r="S70" s="56"/>
      <c r="T70" s="56"/>
      <c r="U70" s="56"/>
      <c r="V70" s="59"/>
      <c r="W70" s="59"/>
      <c r="X70" s="145"/>
      <c r="Y70" s="115">
        <v>5</v>
      </c>
      <c r="Z70" s="116">
        <v>0.97499999999999998</v>
      </c>
      <c r="AA70" s="116">
        <v>-0.188</v>
      </c>
      <c r="AB70" s="117">
        <v>0.214</v>
      </c>
      <c r="AC70" s="51"/>
      <c r="AD70" s="49"/>
      <c r="AE70" s="36"/>
      <c r="AF70" s="37"/>
      <c r="AG70" s="40"/>
      <c r="AH70" s="539"/>
      <c r="AI70" s="199">
        <v>3</v>
      </c>
      <c r="AJ70" s="200">
        <v>1</v>
      </c>
      <c r="AK70" s="201">
        <v>1</v>
      </c>
      <c r="AL70" s="201">
        <v>1.0009999999999999</v>
      </c>
      <c r="AM70" s="201">
        <v>1</v>
      </c>
      <c r="AN70" s="201">
        <v>1.0009999999999999</v>
      </c>
      <c r="AO70" s="201">
        <v>1.0009999999999999</v>
      </c>
      <c r="AP70" s="201">
        <v>1.0009999999999999</v>
      </c>
      <c r="AQ70" s="201">
        <v>1.004</v>
      </c>
      <c r="AR70" s="201">
        <v>1.0009999999999999</v>
      </c>
      <c r="AS70" s="201">
        <v>1.002</v>
      </c>
      <c r="AT70" s="202">
        <v>1.0009999999999999</v>
      </c>
      <c r="AU70" s="201">
        <v>0.996</v>
      </c>
      <c r="AV70" s="201">
        <v>1.0009999999999999</v>
      </c>
      <c r="AW70" s="201">
        <v>1.0029999999999999</v>
      </c>
      <c r="AX70" s="201">
        <v>0.998</v>
      </c>
      <c r="AY70" s="201">
        <v>1.0009999999999999</v>
      </c>
      <c r="AZ70" s="201">
        <v>0.996</v>
      </c>
      <c r="BA70" s="201">
        <v>1</v>
      </c>
      <c r="BB70" s="201">
        <v>1</v>
      </c>
      <c r="BC70" s="201">
        <v>1</v>
      </c>
      <c r="BD70" s="201">
        <v>0.999</v>
      </c>
      <c r="BE70" s="201">
        <v>0.999</v>
      </c>
      <c r="BF70" s="201">
        <v>0.999</v>
      </c>
      <c r="BG70" s="202">
        <v>1</v>
      </c>
    </row>
    <row r="71" spans="1:59" ht="14.1" customHeight="1" x14ac:dyDescent="0.2">
      <c r="A71" s="105"/>
      <c r="B71" s="118" t="s">
        <v>77</v>
      </c>
      <c r="C71" s="181"/>
      <c r="D71" s="181"/>
      <c r="E71" s="183"/>
      <c r="F71" s="182"/>
      <c r="G71" s="183"/>
      <c r="H71" s="183"/>
      <c r="I71" s="184"/>
      <c r="J71" s="493"/>
      <c r="K71" s="215" t="s">
        <v>281</v>
      </c>
      <c r="L71" s="346" t="s">
        <v>282</v>
      </c>
      <c r="M71" s="346" t="s">
        <v>282</v>
      </c>
      <c r="N71" s="347" t="s">
        <v>282</v>
      </c>
      <c r="O71" s="154" t="s">
        <v>70</v>
      </c>
      <c r="P71" s="101" t="s">
        <v>86</v>
      </c>
      <c r="Q71" s="154">
        <v>10</v>
      </c>
      <c r="R71" s="155">
        <v>3</v>
      </c>
      <c r="S71" s="156">
        <v>2</v>
      </c>
      <c r="T71" s="156">
        <v>1</v>
      </c>
      <c r="U71" s="142">
        <v>0.5</v>
      </c>
      <c r="V71" s="59"/>
      <c r="W71" s="59"/>
      <c r="X71" s="145"/>
      <c r="Y71" s="51"/>
      <c r="Z71" s="51"/>
      <c r="AA71" s="51"/>
      <c r="AB71" s="51"/>
      <c r="AC71" s="51"/>
      <c r="AD71" s="49"/>
      <c r="AE71" s="36"/>
      <c r="AF71" s="37"/>
      <c r="AG71" s="40"/>
      <c r="AH71" s="539"/>
      <c r="AI71" s="199">
        <v>2.5</v>
      </c>
      <c r="AJ71" s="200">
        <v>1.0009999999999999</v>
      </c>
      <c r="AK71" s="201">
        <v>1.0009999999999999</v>
      </c>
      <c r="AL71" s="201">
        <v>1.0009999999999999</v>
      </c>
      <c r="AM71" s="201">
        <v>1.0009999999999999</v>
      </c>
      <c r="AN71" s="201">
        <v>1.0029999999999999</v>
      </c>
      <c r="AO71" s="201">
        <v>1.0029999999999999</v>
      </c>
      <c r="AP71" s="201">
        <v>1.0029999999999999</v>
      </c>
      <c r="AQ71" s="201">
        <v>1.0089999999999999</v>
      </c>
      <c r="AR71" s="201">
        <v>1.0029999999999999</v>
      </c>
      <c r="AS71" s="201">
        <v>1.004</v>
      </c>
      <c r="AT71" s="202">
        <v>1.002</v>
      </c>
      <c r="AU71" s="201">
        <v>0.99299999999999999</v>
      </c>
      <c r="AV71" s="201">
        <v>1.0009999999999999</v>
      </c>
      <c r="AW71" s="201">
        <v>1.004</v>
      </c>
      <c r="AX71" s="201">
        <v>0.996</v>
      </c>
      <c r="AY71" s="201">
        <v>1.0009999999999999</v>
      </c>
      <c r="AZ71" s="201">
        <v>0.99299999999999999</v>
      </c>
      <c r="BA71" s="201">
        <v>0.999</v>
      </c>
      <c r="BB71" s="201">
        <v>0.998</v>
      </c>
      <c r="BC71" s="201">
        <v>1</v>
      </c>
      <c r="BD71" s="201">
        <v>0.999</v>
      </c>
      <c r="BE71" s="201">
        <v>0.998</v>
      </c>
      <c r="BF71" s="201">
        <v>0.998</v>
      </c>
      <c r="BG71" s="202">
        <v>1</v>
      </c>
    </row>
    <row r="72" spans="1:59" ht="14.1" customHeight="1" x14ac:dyDescent="0.2">
      <c r="A72" s="88" t="s">
        <v>84</v>
      </c>
      <c r="B72" s="119" t="s">
        <v>85</v>
      </c>
      <c r="C72" s="326" t="s">
        <v>86</v>
      </c>
      <c r="D72" s="326" t="s">
        <v>170</v>
      </c>
      <c r="E72" s="54" t="s">
        <v>5</v>
      </c>
      <c r="F72" s="229">
        <v>6</v>
      </c>
      <c r="G72" s="54" t="s">
        <v>7</v>
      </c>
      <c r="H72" s="54">
        <v>10</v>
      </c>
      <c r="I72" s="120" t="s">
        <v>8</v>
      </c>
      <c r="J72" s="494" t="s">
        <v>408</v>
      </c>
      <c r="K72" s="140"/>
      <c r="L72" s="143" t="s">
        <v>283</v>
      </c>
      <c r="M72" s="143" t="s">
        <v>283</v>
      </c>
      <c r="N72" s="137" t="s">
        <v>283</v>
      </c>
      <c r="O72" s="158">
        <v>6</v>
      </c>
      <c r="P72" s="398">
        <v>122179</v>
      </c>
      <c r="Q72" s="121">
        <v>0.9745561717800415</v>
      </c>
      <c r="R72" s="122">
        <v>0.97180633871281352</v>
      </c>
      <c r="S72" s="122">
        <v>0.97106764466177675</v>
      </c>
      <c r="T72" s="122">
        <v>0.95193870443464101</v>
      </c>
      <c r="U72" s="123">
        <v>0.95193870443464101</v>
      </c>
      <c r="V72" s="59"/>
      <c r="W72" s="59"/>
      <c r="X72" s="145"/>
      <c r="Y72" s="43" t="s">
        <v>172</v>
      </c>
      <c r="Z72" s="43" t="s">
        <v>173</v>
      </c>
      <c r="AA72" s="43"/>
      <c r="AB72" s="43"/>
      <c r="AC72" s="43"/>
      <c r="AD72" s="49"/>
      <c r="AE72" s="36"/>
      <c r="AF72" s="37"/>
      <c r="AG72" s="40"/>
      <c r="AH72" s="539"/>
      <c r="AI72" s="199">
        <v>2</v>
      </c>
      <c r="AJ72" s="200">
        <v>1.002</v>
      </c>
      <c r="AK72" s="201">
        <v>1.0029999999999999</v>
      </c>
      <c r="AL72" s="201">
        <v>1.002</v>
      </c>
      <c r="AM72" s="201">
        <v>1.002</v>
      </c>
      <c r="AN72" s="201">
        <v>1.0089999999999999</v>
      </c>
      <c r="AO72" s="201">
        <v>1.0089999999999999</v>
      </c>
      <c r="AP72" s="201">
        <v>1.0089999999999999</v>
      </c>
      <c r="AQ72" s="201">
        <v>1.022</v>
      </c>
      <c r="AR72" s="201">
        <v>1.008</v>
      </c>
      <c r="AS72" s="201">
        <v>1.008</v>
      </c>
      <c r="AT72" s="202">
        <v>1.004</v>
      </c>
      <c r="AU72" s="201">
        <v>0.98899999999999999</v>
      </c>
      <c r="AV72" s="201">
        <v>1</v>
      </c>
      <c r="AW72" s="201">
        <v>1.0029999999999999</v>
      </c>
      <c r="AX72" s="201">
        <v>0.99099999999999999</v>
      </c>
      <c r="AY72" s="201">
        <v>0.999</v>
      </c>
      <c r="AZ72" s="201">
        <v>0.98699999999999999</v>
      </c>
      <c r="BA72" s="201">
        <v>0.997</v>
      </c>
      <c r="BB72" s="201">
        <v>0.995</v>
      </c>
      <c r="BC72" s="201">
        <v>1</v>
      </c>
      <c r="BD72" s="201">
        <v>0.998</v>
      </c>
      <c r="BE72" s="201">
        <v>0.998</v>
      </c>
      <c r="BF72" s="201">
        <v>0.995</v>
      </c>
      <c r="BG72" s="202">
        <v>1</v>
      </c>
    </row>
    <row r="73" spans="1:59" ht="14.1" customHeight="1" x14ac:dyDescent="0.2">
      <c r="A73" s="286">
        <v>60018</v>
      </c>
      <c r="B73" s="107" t="str">
        <f ca="1">IF(ISBLANK(C73),"---",IF(NOW()&gt;D73+(3*365),"Expired!","Current"))</f>
        <v>---</v>
      </c>
      <c r="C73" s="399"/>
      <c r="D73" s="400"/>
      <c r="E73" s="401"/>
      <c r="F73" s="444"/>
      <c r="G73" s="444"/>
      <c r="H73" s="444"/>
      <c r="I73" s="445"/>
      <c r="J73" s="495" t="s">
        <v>409</v>
      </c>
      <c r="K73" s="141"/>
      <c r="L73" s="144" t="s">
        <v>284</v>
      </c>
      <c r="M73" s="144" t="s">
        <v>285</v>
      </c>
      <c r="N73" s="142" t="s">
        <v>286</v>
      </c>
      <c r="O73" s="160" t="s">
        <v>7</v>
      </c>
      <c r="P73" s="402">
        <v>122179</v>
      </c>
      <c r="Q73" s="129">
        <v>0.97620828477506516</v>
      </c>
      <c r="R73" s="130">
        <v>0.9747693466390509</v>
      </c>
      <c r="S73" s="130">
        <v>0.97183376009454414</v>
      </c>
      <c r="T73" s="130">
        <v>0.95844686648501365</v>
      </c>
      <c r="U73" s="131">
        <v>0.95844686648501365</v>
      </c>
      <c r="V73" s="59"/>
      <c r="W73" s="59"/>
      <c r="X73" s="145"/>
      <c r="Y73" s="124" t="s">
        <v>20</v>
      </c>
      <c r="Z73" s="125"/>
      <c r="AA73" s="64" t="s">
        <v>174</v>
      </c>
      <c r="AB73" s="64" t="s">
        <v>175</v>
      </c>
      <c r="AC73" s="65" t="s">
        <v>176</v>
      </c>
      <c r="AD73" s="49"/>
      <c r="AE73" s="36"/>
      <c r="AF73" s="37"/>
      <c r="AG73" s="40"/>
      <c r="AH73" s="539"/>
      <c r="AI73" s="199">
        <v>1.5</v>
      </c>
      <c r="AJ73" s="200">
        <v>1.01</v>
      </c>
      <c r="AK73" s="201">
        <v>1.0069999999999999</v>
      </c>
      <c r="AL73" s="201">
        <v>1.0029999999999999</v>
      </c>
      <c r="AM73" s="201">
        <v>1.0089999999999999</v>
      </c>
      <c r="AN73" s="201">
        <v>1.0269999999999999</v>
      </c>
      <c r="AO73" s="201">
        <v>1.0269999999999999</v>
      </c>
      <c r="AP73" s="201">
        <v>1.0269999999999999</v>
      </c>
      <c r="AQ73" s="102">
        <v>1.0509999999999999</v>
      </c>
      <c r="AR73" s="201">
        <v>1.022</v>
      </c>
      <c r="AS73" s="201">
        <v>1.0189999999999999</v>
      </c>
      <c r="AT73" s="202">
        <v>1.0109999999999999</v>
      </c>
      <c r="AU73" s="201">
        <v>0.98299999999999998</v>
      </c>
      <c r="AV73" s="201">
        <v>0.997</v>
      </c>
      <c r="AW73" s="201">
        <v>1</v>
      </c>
      <c r="AX73" s="201">
        <v>0.98099999999999998</v>
      </c>
      <c r="AY73" s="201">
        <v>0.99399999999999999</v>
      </c>
      <c r="AZ73" s="201">
        <v>0.97799999999999998</v>
      </c>
      <c r="BA73" s="201">
        <v>0.99199999999999999</v>
      </c>
      <c r="BB73" s="201">
        <v>0.99</v>
      </c>
      <c r="BC73" s="201">
        <v>1</v>
      </c>
      <c r="BD73" s="201">
        <v>0.995</v>
      </c>
      <c r="BE73" s="201">
        <v>0.998</v>
      </c>
      <c r="BF73" s="201">
        <v>0.98899999999999999</v>
      </c>
      <c r="BG73" s="202">
        <v>1</v>
      </c>
    </row>
    <row r="74" spans="1:59" ht="14.1" customHeight="1" x14ac:dyDescent="0.25">
      <c r="A74" s="118">
        <v>60019</v>
      </c>
      <c r="B74" s="107" t="str">
        <f t="shared" ref="B74:B83" ca="1" si="6">IF(ISBLANK(C74),"---",IF(NOW()&gt;D74+(3*365),"Expired!","Current"))</f>
        <v>Current</v>
      </c>
      <c r="C74" s="376">
        <v>122179</v>
      </c>
      <c r="D74" s="266">
        <v>44355</v>
      </c>
      <c r="E74" s="410" t="s">
        <v>331</v>
      </c>
      <c r="F74" s="548">
        <v>1.0154106555689739</v>
      </c>
      <c r="G74" s="549">
        <v>1.0143024693428617</v>
      </c>
      <c r="H74" s="549">
        <v>1.0104727968411904</v>
      </c>
      <c r="I74" s="550">
        <v>1.0093707404922929</v>
      </c>
      <c r="J74" s="551" t="s">
        <v>409</v>
      </c>
      <c r="K74" s="403">
        <v>0</v>
      </c>
      <c r="L74" s="404">
        <v>1</v>
      </c>
      <c r="M74" s="404">
        <v>1</v>
      </c>
      <c r="N74" s="405">
        <v>1</v>
      </c>
      <c r="O74" s="160">
        <v>10</v>
      </c>
      <c r="P74" s="402">
        <v>122179</v>
      </c>
      <c r="Q74" s="129">
        <v>0.97609158207237345</v>
      </c>
      <c r="R74" s="130">
        <v>0.97670421997326717</v>
      </c>
      <c r="S74" s="130">
        <v>0.97074253430185631</v>
      </c>
      <c r="T74" s="130">
        <v>0.95411962527023764</v>
      </c>
      <c r="U74" s="131">
        <v>0.95411962527023764</v>
      </c>
      <c r="V74" s="59"/>
      <c r="W74" s="59"/>
      <c r="X74" s="145"/>
      <c r="Y74" s="126" t="s">
        <v>21</v>
      </c>
      <c r="Z74" s="127"/>
      <c r="AA74" s="53">
        <v>0.94899999999999995</v>
      </c>
      <c r="AB74" s="53">
        <v>1.0109999999999999</v>
      </c>
      <c r="AC74" s="128">
        <v>1.02</v>
      </c>
      <c r="AD74" s="49"/>
      <c r="AE74" s="50"/>
      <c r="AF74" s="50"/>
      <c r="AG74" s="40"/>
      <c r="AH74" s="539"/>
      <c r="AI74" s="199">
        <v>1.2</v>
      </c>
      <c r="AJ74" s="200">
        <v>1.026</v>
      </c>
      <c r="AK74" s="201">
        <v>1.014</v>
      </c>
      <c r="AL74" s="201">
        <v>1.0049999999999999</v>
      </c>
      <c r="AM74" s="201">
        <v>1.02</v>
      </c>
      <c r="AN74" s="102">
        <v>1.0549999999999999</v>
      </c>
      <c r="AO74" s="102">
        <v>1.0549999999999999</v>
      </c>
      <c r="AP74" s="102">
        <v>1.0549999999999999</v>
      </c>
      <c r="AQ74" s="201" t="s">
        <v>122</v>
      </c>
      <c r="AR74" s="201">
        <v>1.0429999999999999</v>
      </c>
      <c r="AS74" s="201">
        <v>1.032</v>
      </c>
      <c r="AT74" s="202">
        <v>1.0209999999999999</v>
      </c>
      <c r="AU74" s="201">
        <v>0.97799999999999998</v>
      </c>
      <c r="AV74" s="201">
        <v>0.99399999999999999</v>
      </c>
      <c r="AW74" s="201">
        <v>0.996</v>
      </c>
      <c r="AX74" s="201">
        <v>0.97199999999999998</v>
      </c>
      <c r="AY74" s="201">
        <v>0.98899999999999999</v>
      </c>
      <c r="AZ74" s="201">
        <v>0.96899999999999997</v>
      </c>
      <c r="BA74" s="201">
        <v>0.98699999999999999</v>
      </c>
      <c r="BB74" s="201">
        <v>0.98399999999999999</v>
      </c>
      <c r="BC74" s="201">
        <v>1.0009999999999999</v>
      </c>
      <c r="BD74" s="201">
        <v>0.99099999999999999</v>
      </c>
      <c r="BE74" s="201">
        <v>0.998</v>
      </c>
      <c r="BF74" s="201">
        <v>0.98199999999999998</v>
      </c>
      <c r="BG74" s="202">
        <v>1</v>
      </c>
    </row>
    <row r="75" spans="1:59" ht="14.1" customHeight="1" x14ac:dyDescent="0.25">
      <c r="A75" s="298"/>
      <c r="B75" s="111" t="str">
        <f t="shared" ca="1" si="6"/>
        <v>Current</v>
      </c>
      <c r="C75" s="376">
        <v>123242</v>
      </c>
      <c r="D75" s="266">
        <v>44355</v>
      </c>
      <c r="E75" s="410" t="s">
        <v>331</v>
      </c>
      <c r="F75" s="446">
        <v>0.77445832442713902</v>
      </c>
      <c r="G75" s="447">
        <v>0.77422556116407426</v>
      </c>
      <c r="H75" s="447">
        <v>0.7682518602688384</v>
      </c>
      <c r="I75" s="448">
        <v>0.76825647026906729</v>
      </c>
      <c r="J75" s="552">
        <v>0.77021452072215679</v>
      </c>
      <c r="K75" s="403">
        <v>30</v>
      </c>
      <c r="L75" s="148">
        <v>0.998</v>
      </c>
      <c r="M75" s="148">
        <v>1.0009999999999999</v>
      </c>
      <c r="N75" s="149">
        <v>0.999</v>
      </c>
      <c r="O75" s="162" t="s">
        <v>8</v>
      </c>
      <c r="P75" s="406">
        <v>122179</v>
      </c>
      <c r="Q75" s="163">
        <v>0.97685734925378531</v>
      </c>
      <c r="R75" s="164">
        <v>0.97388604821037261</v>
      </c>
      <c r="S75" s="164">
        <v>0.96680177571897319</v>
      </c>
      <c r="T75" s="164">
        <v>0.94965197215777264</v>
      </c>
      <c r="U75" s="432">
        <v>0.94965197215777264</v>
      </c>
      <c r="V75" s="59"/>
      <c r="W75" s="59"/>
      <c r="X75" s="145"/>
      <c r="Y75" s="132" t="s">
        <v>22</v>
      </c>
      <c r="Z75" s="127"/>
      <c r="AA75" s="53">
        <v>0.94899999999999995</v>
      </c>
      <c r="AB75" s="53">
        <v>1.008</v>
      </c>
      <c r="AC75" s="128">
        <v>1.03</v>
      </c>
      <c r="AD75" s="49"/>
      <c r="AE75" s="49"/>
      <c r="AF75" s="49"/>
      <c r="AG75" s="40"/>
      <c r="AH75" s="539"/>
      <c r="AI75" s="199">
        <v>1</v>
      </c>
      <c r="AJ75" s="200">
        <v>1.0469999999999999</v>
      </c>
      <c r="AK75" s="201">
        <v>1.0209999999999999</v>
      </c>
      <c r="AL75" s="201">
        <v>1.0089999999999999</v>
      </c>
      <c r="AM75" s="201">
        <v>1.0349999999999999</v>
      </c>
      <c r="AN75" s="201" t="s">
        <v>122</v>
      </c>
      <c r="AO75" s="201" t="s">
        <v>122</v>
      </c>
      <c r="AP75" s="201" t="s">
        <v>122</v>
      </c>
      <c r="AQ75" s="201" t="s">
        <v>122</v>
      </c>
      <c r="AR75" s="102">
        <v>1.0669999999999999</v>
      </c>
      <c r="AS75" s="201">
        <v>1.044</v>
      </c>
      <c r="AT75" s="202">
        <v>1.0309999999999999</v>
      </c>
      <c r="AU75" s="201">
        <v>0.97399999999999998</v>
      </c>
      <c r="AV75" s="201">
        <v>0.99099999999999999</v>
      </c>
      <c r="AW75" s="201">
        <v>0.99099999999999999</v>
      </c>
      <c r="AX75" s="201">
        <v>0.96199999999999997</v>
      </c>
      <c r="AY75" s="201">
        <v>0.98399999999999999</v>
      </c>
      <c r="AZ75" s="201">
        <v>0.96199999999999997</v>
      </c>
      <c r="BA75" s="201">
        <v>0.98099999999999998</v>
      </c>
      <c r="BB75" s="201">
        <v>0.97899999999999998</v>
      </c>
      <c r="BC75" s="201">
        <v>1.0029999999999999</v>
      </c>
      <c r="BD75" s="201">
        <v>0.98799999999999999</v>
      </c>
      <c r="BE75" s="201">
        <v>0.999</v>
      </c>
      <c r="BF75" s="201">
        <v>0.97499999999999998</v>
      </c>
      <c r="BG75" s="202">
        <v>1</v>
      </c>
    </row>
    <row r="76" spans="1:59" ht="14.1" customHeight="1" x14ac:dyDescent="0.25">
      <c r="A76" s="298"/>
      <c r="B76" s="111" t="str">
        <f t="shared" ca="1" si="6"/>
        <v>Current</v>
      </c>
      <c r="C76" s="376">
        <v>123244</v>
      </c>
      <c r="D76" s="266">
        <v>44355</v>
      </c>
      <c r="E76" s="410" t="s">
        <v>331</v>
      </c>
      <c r="F76" s="446">
        <v>0.76835878590888784</v>
      </c>
      <c r="G76" s="447">
        <v>0.77037879968034739</v>
      </c>
      <c r="H76" s="447">
        <v>0.76331530584960761</v>
      </c>
      <c r="I76" s="448">
        <v>0.76672856875078965</v>
      </c>
      <c r="J76" s="552" t="s">
        <v>409</v>
      </c>
      <c r="K76" s="407">
        <v>45</v>
      </c>
      <c r="L76" s="408">
        <v>1.0089999999999999</v>
      </c>
      <c r="M76" s="408">
        <v>1.0069999999999999</v>
      </c>
      <c r="N76" s="409">
        <v>1.008</v>
      </c>
      <c r="O76" s="158">
        <v>6</v>
      </c>
      <c r="P76" s="398">
        <v>123242</v>
      </c>
      <c r="Q76" s="121">
        <v>0.97218016654049977</v>
      </c>
      <c r="R76" s="122">
        <v>0.96948775055679282</v>
      </c>
      <c r="S76" s="122">
        <v>0.96678362573099408</v>
      </c>
      <c r="T76" s="122">
        <v>0.95064724919093846</v>
      </c>
      <c r="U76" s="123">
        <v>0.95064724919093846</v>
      </c>
      <c r="V76" s="54"/>
      <c r="W76" s="54"/>
      <c r="X76" s="166"/>
      <c r="Y76" s="132" t="s">
        <v>23</v>
      </c>
      <c r="Z76" s="127"/>
      <c r="AA76" s="53">
        <v>0.98199999999999998</v>
      </c>
      <c r="AB76" s="53">
        <v>0.998</v>
      </c>
      <c r="AC76" s="128">
        <v>1.0129999999999999</v>
      </c>
      <c r="AD76" s="49"/>
      <c r="AE76" s="49"/>
      <c r="AF76" s="49"/>
      <c r="AG76" s="40"/>
      <c r="AH76" s="539"/>
      <c r="AI76" s="199">
        <v>0.8</v>
      </c>
      <c r="AJ76" s="200" t="s">
        <v>122</v>
      </c>
      <c r="AK76" s="201">
        <v>1.032</v>
      </c>
      <c r="AL76" s="201">
        <v>1.016</v>
      </c>
      <c r="AM76" s="102">
        <v>1.0609999999999999</v>
      </c>
      <c r="AN76" s="201" t="s">
        <v>122</v>
      </c>
      <c r="AO76" s="201" t="s">
        <v>122</v>
      </c>
      <c r="AP76" s="201" t="s">
        <v>122</v>
      </c>
      <c r="AQ76" s="201" t="s">
        <v>122</v>
      </c>
      <c r="AR76" s="201" t="s">
        <v>122</v>
      </c>
      <c r="AS76" s="102">
        <v>1.0629999999999999</v>
      </c>
      <c r="AT76" s="202">
        <v>1.046</v>
      </c>
      <c r="AU76" s="201">
        <v>0.96899999999999997</v>
      </c>
      <c r="AV76" s="201">
        <v>0.98699999999999999</v>
      </c>
      <c r="AW76" s="201">
        <v>0.98299999999999998</v>
      </c>
      <c r="AX76" s="201">
        <v>0.95099999999999996</v>
      </c>
      <c r="AY76" s="201">
        <v>0.97699999999999998</v>
      </c>
      <c r="AZ76" s="201">
        <v>0.95299999999999996</v>
      </c>
      <c r="BA76" s="201">
        <v>0.97499999999999998</v>
      </c>
      <c r="BB76" s="201">
        <v>0.97299999999999998</v>
      </c>
      <c r="BC76" s="201">
        <v>1.0089999999999999</v>
      </c>
      <c r="BD76" s="201">
        <v>0.98399999999999999</v>
      </c>
      <c r="BE76" s="201">
        <v>1.002</v>
      </c>
      <c r="BF76" s="201">
        <v>0.96599999999999997</v>
      </c>
      <c r="BG76" s="202">
        <v>1</v>
      </c>
    </row>
    <row r="77" spans="1:59" ht="14.1" customHeight="1" x14ac:dyDescent="0.25">
      <c r="A77" s="299"/>
      <c r="B77" s="111" t="str">
        <f t="shared" ca="1" si="6"/>
        <v>Current</v>
      </c>
      <c r="C77" s="376">
        <v>123669</v>
      </c>
      <c r="D77" s="266">
        <v>44355</v>
      </c>
      <c r="E77" s="410" t="s">
        <v>331</v>
      </c>
      <c r="F77" s="446">
        <v>1.1993407654470607</v>
      </c>
      <c r="G77" s="447">
        <v>1.2030562886622127</v>
      </c>
      <c r="H77" s="447">
        <v>1.194246073882498</v>
      </c>
      <c r="I77" s="448">
        <v>1.1965853716752988</v>
      </c>
      <c r="J77" s="552">
        <v>1.2011497070023374</v>
      </c>
      <c r="K77" s="403">
        <v>60</v>
      </c>
      <c r="L77" s="361">
        <v>1.02</v>
      </c>
      <c r="M77" s="148">
        <v>1.0129999999999999</v>
      </c>
      <c r="N77" s="149">
        <v>1.0169999999999999</v>
      </c>
      <c r="O77" s="160" t="s">
        <v>7</v>
      </c>
      <c r="P77" s="402">
        <v>123242</v>
      </c>
      <c r="Q77" s="129">
        <v>0.97557309282224725</v>
      </c>
      <c r="R77" s="130">
        <v>0.97511797511797504</v>
      </c>
      <c r="S77" s="130">
        <v>0.97212230215827322</v>
      </c>
      <c r="T77" s="130">
        <v>0.95708322462822848</v>
      </c>
      <c r="U77" s="131">
        <v>0.95708322462822848</v>
      </c>
      <c r="V77" s="176"/>
      <c r="W77" s="176"/>
      <c r="X77" s="167"/>
      <c r="Y77" s="132" t="s">
        <v>24</v>
      </c>
      <c r="Z77" s="127"/>
      <c r="AA77" s="53">
        <v>0.94599999999999995</v>
      </c>
      <c r="AB77" s="53" t="s">
        <v>18</v>
      </c>
      <c r="AC77" s="128">
        <v>1.03</v>
      </c>
      <c r="AD77" s="49"/>
      <c r="AE77" s="49"/>
      <c r="AF77" s="49"/>
      <c r="AG77" s="40"/>
      <c r="AH77" s="539"/>
      <c r="AI77" s="199">
        <v>0.6</v>
      </c>
      <c r="AJ77" s="200" t="s">
        <v>122</v>
      </c>
      <c r="AK77" s="201">
        <v>1.05</v>
      </c>
      <c r="AL77" s="201">
        <v>1.0309999999999999</v>
      </c>
      <c r="AM77" s="201" t="s">
        <v>122</v>
      </c>
      <c r="AN77" s="201" t="s">
        <v>122</v>
      </c>
      <c r="AO77" s="201" t="s">
        <v>122</v>
      </c>
      <c r="AP77" s="201" t="s">
        <v>122</v>
      </c>
      <c r="AQ77" s="201" t="s">
        <v>122</v>
      </c>
      <c r="AR77" s="201" t="s">
        <v>122</v>
      </c>
      <c r="AS77" s="201" t="s">
        <v>122</v>
      </c>
      <c r="AT77" s="103">
        <v>1.07</v>
      </c>
      <c r="AU77" s="201">
        <v>0.96299999999999997</v>
      </c>
      <c r="AV77" s="201">
        <v>0.98099999999999998</v>
      </c>
      <c r="AW77" s="201">
        <v>0.97199999999999998</v>
      </c>
      <c r="AX77" s="102">
        <v>0.93500000000000005</v>
      </c>
      <c r="AY77" s="201">
        <v>0.96799999999999997</v>
      </c>
      <c r="AZ77" s="102">
        <v>0.94199999999999995</v>
      </c>
      <c r="BA77" s="201">
        <v>0.96599999999999997</v>
      </c>
      <c r="BB77" s="201">
        <v>0.96499999999999997</v>
      </c>
      <c r="BC77" s="201">
        <v>1.0229999999999999</v>
      </c>
      <c r="BD77" s="201">
        <v>0.97799999999999998</v>
      </c>
      <c r="BE77" s="201">
        <v>1.01</v>
      </c>
      <c r="BF77" s="201">
        <v>0.95399999999999996</v>
      </c>
      <c r="BG77" s="202">
        <v>1</v>
      </c>
    </row>
    <row r="78" spans="1:59" ht="14.1" customHeight="1" x14ac:dyDescent="0.25">
      <c r="A78" s="299"/>
      <c r="B78" s="111" t="str">
        <f t="shared" ca="1" si="6"/>
        <v>Current</v>
      </c>
      <c r="C78" s="376">
        <v>124146</v>
      </c>
      <c r="D78" s="266">
        <v>44148</v>
      </c>
      <c r="E78" s="410" t="s">
        <v>331</v>
      </c>
      <c r="F78" s="446">
        <v>0.86094469963880327</v>
      </c>
      <c r="G78" s="447">
        <v>0.86244159529663622</v>
      </c>
      <c r="H78" s="447">
        <v>0.85877546841333308</v>
      </c>
      <c r="I78" s="448">
        <v>0.85994741434338484</v>
      </c>
      <c r="J78" s="448">
        <v>0.78116729196655499</v>
      </c>
      <c r="K78" s="411">
        <v>90</v>
      </c>
      <c r="L78" s="151">
        <v>1.014</v>
      </c>
      <c r="M78" s="151">
        <v>1.0209999999999999</v>
      </c>
      <c r="N78" s="152">
        <v>1.0169999999999999</v>
      </c>
      <c r="O78" s="160">
        <v>10</v>
      </c>
      <c r="P78" s="402">
        <v>123242</v>
      </c>
      <c r="Q78" s="383">
        <v>0.9793233082706766</v>
      </c>
      <c r="R78" s="375">
        <v>0.97828918801563192</v>
      </c>
      <c r="S78" s="375">
        <v>0.97263738790526566</v>
      </c>
      <c r="T78" s="375">
        <v>0.94304490690032849</v>
      </c>
      <c r="U78" s="161">
        <v>0.94304490690032849</v>
      </c>
      <c r="V78" s="176"/>
      <c r="W78" s="176"/>
      <c r="X78" s="145"/>
      <c r="Y78" s="132" t="s">
        <v>25</v>
      </c>
      <c r="Z78" s="127"/>
      <c r="AA78" s="53">
        <v>0.94099999999999995</v>
      </c>
      <c r="AB78" s="53">
        <v>1.0089999999999999</v>
      </c>
      <c r="AC78" s="128">
        <v>1.19</v>
      </c>
      <c r="AD78" s="49"/>
      <c r="AE78" s="49"/>
      <c r="AF78" s="49"/>
      <c r="AG78" s="40"/>
      <c r="AH78" s="539"/>
      <c r="AI78" s="199">
        <v>0.5</v>
      </c>
      <c r="AJ78" s="200" t="s">
        <v>122</v>
      </c>
      <c r="AK78" s="201" t="s">
        <v>122</v>
      </c>
      <c r="AL78" s="201">
        <v>1.0429999999999999</v>
      </c>
      <c r="AM78" s="201" t="s">
        <v>122</v>
      </c>
      <c r="AN78" s="201" t="s">
        <v>122</v>
      </c>
      <c r="AO78" s="201" t="s">
        <v>122</v>
      </c>
      <c r="AP78" s="201" t="s">
        <v>122</v>
      </c>
      <c r="AQ78" s="201" t="s">
        <v>122</v>
      </c>
      <c r="AR78" s="201" t="s">
        <v>122</v>
      </c>
      <c r="AS78" s="201" t="s">
        <v>122</v>
      </c>
      <c r="AT78" s="202" t="s">
        <v>122</v>
      </c>
      <c r="AU78" s="201">
        <v>0.95899999999999996</v>
      </c>
      <c r="AV78" s="201">
        <v>0.97799999999999998</v>
      </c>
      <c r="AW78" s="201">
        <v>0.96499999999999997</v>
      </c>
      <c r="AX78" s="201" t="s">
        <v>122</v>
      </c>
      <c r="AY78" s="201">
        <v>0.96199999999999997</v>
      </c>
      <c r="AZ78" s="201" t="s">
        <v>122</v>
      </c>
      <c r="BA78" s="201">
        <v>0.96</v>
      </c>
      <c r="BB78" s="201">
        <v>0.96099999999999997</v>
      </c>
      <c r="BC78" s="201">
        <v>1.0369999999999999</v>
      </c>
      <c r="BD78" s="201">
        <v>0.97499999999999998</v>
      </c>
      <c r="BE78" s="201">
        <v>1.0189999999999999</v>
      </c>
      <c r="BF78" s="102">
        <v>0.94599999999999995</v>
      </c>
      <c r="BG78" s="202">
        <v>1</v>
      </c>
    </row>
    <row r="79" spans="1:59" ht="14.1" customHeight="1" x14ac:dyDescent="0.2">
      <c r="A79" s="299"/>
      <c r="B79" s="111" t="str">
        <f t="shared" ca="1" si="6"/>
        <v>Current</v>
      </c>
      <c r="C79" s="417">
        <v>124007</v>
      </c>
      <c r="D79" s="266">
        <v>43963</v>
      </c>
      <c r="E79" s="410" t="s">
        <v>331</v>
      </c>
      <c r="F79" s="446">
        <v>0.78002434763210249</v>
      </c>
      <c r="G79" s="447">
        <v>0.77927543434732582</v>
      </c>
      <c r="H79" s="447">
        <v>0.77589500798200406</v>
      </c>
      <c r="I79" s="448">
        <v>0.77512355258380139</v>
      </c>
      <c r="J79" s="448">
        <v>0.93583051212315971</v>
      </c>
      <c r="K79" s="56"/>
      <c r="L79" s="56"/>
      <c r="M79" s="56"/>
      <c r="N79" s="56"/>
      <c r="O79" s="162" t="s">
        <v>8</v>
      </c>
      <c r="P79" s="406">
        <v>123242</v>
      </c>
      <c r="Q79" s="383">
        <v>0.97566454511418954</v>
      </c>
      <c r="R79" s="375">
        <v>0.97230897355819279</v>
      </c>
      <c r="S79" s="375">
        <v>0.96670341786108049</v>
      </c>
      <c r="T79" s="375">
        <v>0.94532908704883223</v>
      </c>
      <c r="U79" s="161">
        <v>0.94532908704883223</v>
      </c>
      <c r="V79" s="176"/>
      <c r="W79" s="176"/>
      <c r="X79" s="167"/>
      <c r="Y79" s="132" t="s">
        <v>26</v>
      </c>
      <c r="Z79" s="127"/>
      <c r="AA79" s="53">
        <v>0.92200000000000004</v>
      </c>
      <c r="AB79" s="53">
        <v>1.026</v>
      </c>
      <c r="AC79" s="128">
        <v>1.06</v>
      </c>
      <c r="AD79" s="49"/>
      <c r="AE79" s="49"/>
      <c r="AF79" s="49"/>
      <c r="AG79" s="42"/>
      <c r="AH79" s="540"/>
      <c r="AI79" s="204"/>
      <c r="AJ79" s="218"/>
      <c r="AK79" s="219"/>
      <c r="AL79" s="219"/>
      <c r="AM79" s="219"/>
      <c r="AN79" s="219"/>
      <c r="AO79" s="219"/>
      <c r="AP79" s="219"/>
      <c r="AQ79" s="219"/>
      <c r="AR79" s="219"/>
      <c r="AS79" s="219"/>
      <c r="AT79" s="220"/>
      <c r="AU79" s="219"/>
      <c r="AV79" s="219"/>
      <c r="AW79" s="219"/>
      <c r="AX79" s="219"/>
      <c r="AY79" s="219"/>
      <c r="AZ79" s="219"/>
      <c r="BA79" s="219"/>
      <c r="BB79" s="219"/>
      <c r="BC79" s="219"/>
      <c r="BD79" s="219"/>
      <c r="BE79" s="219"/>
      <c r="BF79" s="219"/>
      <c r="BG79" s="220"/>
    </row>
    <row r="80" spans="1:59" ht="14.1" customHeight="1" x14ac:dyDescent="0.2">
      <c r="A80" s="299"/>
      <c r="B80" s="111" t="str">
        <f t="shared" ca="1" si="6"/>
        <v>Current</v>
      </c>
      <c r="C80" s="417">
        <v>124008</v>
      </c>
      <c r="D80" s="266">
        <v>43963</v>
      </c>
      <c r="E80" s="410" t="s">
        <v>331</v>
      </c>
      <c r="F80" s="446">
        <v>0.93551900032936008</v>
      </c>
      <c r="G80" s="447">
        <v>0.9351062295885384</v>
      </c>
      <c r="H80" s="447">
        <v>0.93250099852700041</v>
      </c>
      <c r="I80" s="448">
        <v>0.9306285875328365</v>
      </c>
      <c r="J80" s="448" t="s">
        <v>409</v>
      </c>
      <c r="K80" s="56"/>
      <c r="L80" s="56"/>
      <c r="M80" s="56"/>
      <c r="N80" s="56"/>
      <c r="O80" s="158">
        <v>6</v>
      </c>
      <c r="P80" s="373">
        <v>123244</v>
      </c>
      <c r="Q80" s="121">
        <v>0.98131370328425827</v>
      </c>
      <c r="R80" s="122">
        <v>0.97934710193204533</v>
      </c>
      <c r="S80" s="122">
        <v>0.97715085101422272</v>
      </c>
      <c r="T80" s="122">
        <v>0.96597353497164451</v>
      </c>
      <c r="U80" s="123">
        <v>0.96597353497164451</v>
      </c>
      <c r="V80" s="176"/>
      <c r="W80" s="176"/>
      <c r="X80" s="167"/>
      <c r="Y80" s="132" t="s">
        <v>27</v>
      </c>
      <c r="Z80" s="127"/>
      <c r="AA80" s="53">
        <v>0.92200000000000004</v>
      </c>
      <c r="AB80" s="53">
        <v>1.0189999999999999</v>
      </c>
      <c r="AC80" s="128">
        <v>1.06</v>
      </c>
      <c r="AD80" s="49"/>
      <c r="AE80" s="50"/>
      <c r="AF80" s="49"/>
      <c r="AG80" s="42"/>
      <c r="AH80" s="208"/>
      <c r="AI80" s="209"/>
      <c r="AJ80" s="210"/>
      <c r="AK80" s="210"/>
      <c r="AL80" s="210"/>
      <c r="AM80" s="210"/>
      <c r="AN80" s="210"/>
      <c r="AO80" s="210"/>
      <c r="AP80" s="210"/>
      <c r="AQ80" s="210"/>
      <c r="AR80" s="210"/>
      <c r="AS80" s="210"/>
      <c r="AT80" s="210"/>
      <c r="AU80" s="210"/>
      <c r="AV80" s="210"/>
      <c r="AW80" s="210"/>
      <c r="AX80" s="210"/>
      <c r="AY80" s="210"/>
      <c r="AZ80" s="210"/>
      <c r="BA80" s="210"/>
      <c r="BB80" s="210"/>
      <c r="BC80" s="210"/>
      <c r="BD80" s="210"/>
      <c r="BE80" s="210"/>
      <c r="BF80" s="210"/>
      <c r="BG80" s="55"/>
    </row>
    <row r="81" spans="1:59" ht="14.1" customHeight="1" x14ac:dyDescent="0.2">
      <c r="A81" s="299"/>
      <c r="B81" s="111" t="str">
        <f t="shared" ca="1" si="6"/>
        <v>---</v>
      </c>
      <c r="C81" s="172"/>
      <c r="D81" s="266"/>
      <c r="E81" s="410"/>
      <c r="F81" s="446"/>
      <c r="G81" s="447"/>
      <c r="H81" s="447"/>
      <c r="I81" s="448"/>
      <c r="J81" s="448"/>
      <c r="K81" s="56"/>
      <c r="L81" s="56"/>
      <c r="M81" s="56"/>
      <c r="N81" s="56"/>
      <c r="O81" s="160" t="s">
        <v>7</v>
      </c>
      <c r="P81" s="376">
        <v>123244</v>
      </c>
      <c r="Q81" s="129">
        <v>0.98010883843122532</v>
      </c>
      <c r="R81" s="130">
        <v>0.97883258499037862</v>
      </c>
      <c r="S81" s="130">
        <v>0.97581728616211383</v>
      </c>
      <c r="T81" s="130">
        <v>0.96133886870783603</v>
      </c>
      <c r="U81" s="131">
        <v>0.96133886870783603</v>
      </c>
      <c r="V81" s="176"/>
      <c r="W81" s="176"/>
      <c r="X81" s="167"/>
      <c r="Y81" s="300" t="s">
        <v>28</v>
      </c>
      <c r="Z81" s="301"/>
      <c r="AA81" s="302">
        <v>0.94799999999999995</v>
      </c>
      <c r="AB81" s="302" t="s">
        <v>18</v>
      </c>
      <c r="AC81" s="303">
        <v>1.127</v>
      </c>
      <c r="AD81" s="49"/>
      <c r="AE81" s="100"/>
      <c r="AF81" s="49"/>
      <c r="AG81" s="42"/>
      <c r="AH81" s="192" t="s">
        <v>179</v>
      </c>
      <c r="AI81" s="221" t="s">
        <v>180</v>
      </c>
      <c r="AJ81" s="221"/>
      <c r="AK81" s="221"/>
      <c r="AL81" s="221"/>
      <c r="AM81" s="221"/>
      <c r="AN81" s="221"/>
      <c r="AO81" s="222"/>
      <c r="AP81" s="55"/>
      <c r="AQ81" s="55"/>
      <c r="AR81" s="55"/>
      <c r="AS81" s="55"/>
      <c r="AT81" s="55"/>
      <c r="AU81" s="55"/>
      <c r="AV81" s="55"/>
      <c r="AW81" s="541" t="s">
        <v>181</v>
      </c>
      <c r="AX81" s="541"/>
      <c r="AY81" s="541"/>
      <c r="AZ81" s="541"/>
      <c r="BA81" s="304"/>
      <c r="BB81" s="55"/>
      <c r="BC81" s="55"/>
      <c r="BD81" s="55"/>
      <c r="BE81" s="55"/>
      <c r="BF81" s="55"/>
      <c r="BG81" s="55"/>
    </row>
    <row r="82" spans="1:59" ht="14.1" customHeight="1" x14ac:dyDescent="0.2">
      <c r="A82" s="299"/>
      <c r="B82" s="111" t="str">
        <f t="shared" ca="1" si="6"/>
        <v>---</v>
      </c>
      <c r="C82" s="172"/>
      <c r="D82" s="266"/>
      <c r="E82" s="410"/>
      <c r="F82" s="446"/>
      <c r="G82" s="447"/>
      <c r="H82" s="447"/>
      <c r="I82" s="448"/>
      <c r="J82" s="448"/>
      <c r="K82" s="56"/>
      <c r="L82" s="56"/>
      <c r="M82" s="56"/>
      <c r="N82" s="56"/>
      <c r="O82" s="160">
        <v>10</v>
      </c>
      <c r="P82" s="376">
        <v>123244</v>
      </c>
      <c r="Q82" s="129">
        <v>0.98141194141945187</v>
      </c>
      <c r="R82" s="130">
        <v>0.9794238683127573</v>
      </c>
      <c r="S82" s="130">
        <v>0.97410038964015599</v>
      </c>
      <c r="T82" s="130">
        <v>0.94792802617230099</v>
      </c>
      <c r="U82" s="131">
        <v>0.94792802617230099</v>
      </c>
      <c r="V82" s="176"/>
      <c r="W82" s="176"/>
      <c r="X82" s="167"/>
      <c r="Y82" s="49"/>
      <c r="Z82" s="49"/>
      <c r="AA82" s="49"/>
      <c r="AB82" s="49"/>
      <c r="AC82" s="49"/>
      <c r="AD82" s="49"/>
      <c r="AE82" s="100"/>
      <c r="AF82" s="40"/>
      <c r="AG82" s="42"/>
      <c r="AH82" s="542" t="s">
        <v>182</v>
      </c>
      <c r="AI82" s="543"/>
      <c r="AJ82" s="544" t="s">
        <v>183</v>
      </c>
      <c r="AK82" s="545"/>
      <c r="AL82" s="544" t="s">
        <v>184</v>
      </c>
      <c r="AM82" s="545"/>
      <c r="AN82" s="544" t="s">
        <v>185</v>
      </c>
      <c r="AO82" s="545"/>
      <c r="AP82" s="100"/>
      <c r="AQ82" s="100"/>
      <c r="AR82" s="100"/>
      <c r="AS82" s="100"/>
      <c r="AT82" s="100"/>
      <c r="AU82" s="100"/>
      <c r="AV82" s="55"/>
      <c r="AW82" s="541"/>
      <c r="AX82" s="541"/>
      <c r="AY82" s="541"/>
      <c r="AZ82" s="541"/>
      <c r="BA82" s="304"/>
      <c r="BB82" s="55"/>
      <c r="BC82" s="55"/>
      <c r="BD82" s="55"/>
      <c r="BE82" s="55"/>
      <c r="BF82" s="55"/>
      <c r="BG82" s="55"/>
    </row>
    <row r="83" spans="1:59" ht="14.1" customHeight="1" x14ac:dyDescent="0.2">
      <c r="A83" s="305"/>
      <c r="B83" s="114" t="str">
        <f t="shared" ca="1" si="6"/>
        <v>---</v>
      </c>
      <c r="C83" s="175"/>
      <c r="D83" s="336"/>
      <c r="E83" s="412"/>
      <c r="F83" s="449"/>
      <c r="G83" s="450"/>
      <c r="H83" s="450"/>
      <c r="I83" s="451"/>
      <c r="J83" s="451"/>
      <c r="K83" s="56"/>
      <c r="L83" s="56"/>
      <c r="M83" s="56"/>
      <c r="N83" s="56"/>
      <c r="O83" s="162" t="s">
        <v>8</v>
      </c>
      <c r="P83" s="384">
        <v>123244</v>
      </c>
      <c r="Q83" s="168">
        <v>0.97901049475262358</v>
      </c>
      <c r="R83" s="169">
        <v>0.97686536056690276</v>
      </c>
      <c r="S83" s="169">
        <v>0.97155457552370461</v>
      </c>
      <c r="T83" s="169">
        <v>0.94692368629522061</v>
      </c>
      <c r="U83" s="170">
        <v>0.94692368629522061</v>
      </c>
      <c r="V83" s="176"/>
      <c r="W83" s="433"/>
      <c r="X83" s="478" t="s">
        <v>390</v>
      </c>
      <c r="Y83" s="479"/>
      <c r="Z83" s="479"/>
      <c r="AA83" s="479"/>
      <c r="AB83" s="479"/>
      <c r="AC83" s="479"/>
      <c r="AD83" s="479"/>
      <c r="AE83" s="480"/>
      <c r="AF83" s="40"/>
      <c r="AG83" s="42"/>
      <c r="AH83" s="546" t="s">
        <v>186</v>
      </c>
      <c r="AI83" s="547"/>
      <c r="AJ83" s="546" t="s">
        <v>187</v>
      </c>
      <c r="AK83" s="547"/>
      <c r="AL83" s="546" t="s">
        <v>188</v>
      </c>
      <c r="AM83" s="547"/>
      <c r="AN83" s="546" t="s">
        <v>189</v>
      </c>
      <c r="AO83" s="547"/>
      <c r="AP83" s="100"/>
      <c r="AQ83" s="100"/>
      <c r="AR83" s="100"/>
      <c r="AS83" s="100"/>
      <c r="AT83" s="100"/>
      <c r="AU83" s="100"/>
      <c r="AV83" s="55"/>
      <c r="AW83" s="541"/>
      <c r="AX83" s="541"/>
      <c r="AY83" s="541"/>
      <c r="AZ83" s="541"/>
      <c r="BA83" s="304"/>
      <c r="BB83" s="55"/>
      <c r="BC83" s="55"/>
      <c r="BD83" s="55"/>
      <c r="BE83" s="55"/>
      <c r="BF83" s="55"/>
      <c r="BG83" s="55"/>
    </row>
    <row r="84" spans="1:59" ht="14.1" customHeight="1" x14ac:dyDescent="0.25">
      <c r="A84" s="45"/>
      <c r="B84"/>
      <c r="C84"/>
      <c r="D84"/>
      <c r="E84"/>
      <c r="F84"/>
      <c r="G84"/>
      <c r="H84"/>
      <c r="I84"/>
      <c r="J84"/>
      <c r="K84"/>
      <c r="L84"/>
      <c r="M84"/>
      <c r="N84"/>
      <c r="O84" s="158">
        <v>6</v>
      </c>
      <c r="P84" s="398">
        <v>123669</v>
      </c>
      <c r="Q84" s="383">
        <v>0.98093428691094331</v>
      </c>
      <c r="R84" s="375">
        <v>0.97846474470302192</v>
      </c>
      <c r="S84" s="375">
        <v>0.97414420975965033</v>
      </c>
      <c r="T84" s="375">
        <v>0.96636645088657469</v>
      </c>
      <c r="U84" s="161">
        <v>0.96636645088657469</v>
      </c>
      <c r="V84" s="59"/>
      <c r="W84" s="433"/>
      <c r="X84" s="462" t="s">
        <v>391</v>
      </c>
      <c r="Y84" s="463"/>
      <c r="Z84" s="463"/>
      <c r="AA84" s="463"/>
      <c r="AB84" s="464" t="s">
        <v>392</v>
      </c>
      <c r="AC84" s="465"/>
      <c r="AD84" s="465"/>
      <c r="AE84" s="466"/>
      <c r="AG84" s="42"/>
      <c r="AH84" s="527" t="s">
        <v>190</v>
      </c>
      <c r="AI84" s="528"/>
      <c r="AJ84" s="527" t="s">
        <v>187</v>
      </c>
      <c r="AK84" s="528"/>
      <c r="AL84" s="527" t="s">
        <v>189</v>
      </c>
      <c r="AM84" s="528"/>
      <c r="AN84" s="527" t="s">
        <v>191</v>
      </c>
      <c r="AO84" s="528"/>
      <c r="AP84" s="100"/>
      <c r="AQ84" s="100"/>
      <c r="AR84" s="100"/>
      <c r="AS84" s="100"/>
      <c r="AT84" s="100"/>
      <c r="AU84" s="100"/>
      <c r="AV84" s="55"/>
      <c r="AW84" s="541"/>
      <c r="AX84" s="541"/>
      <c r="AY84" s="541"/>
      <c r="AZ84" s="541"/>
      <c r="BA84" s="304"/>
      <c r="BB84" s="55"/>
      <c r="BC84" s="55"/>
      <c r="BD84" s="55"/>
      <c r="BE84" s="55"/>
      <c r="BF84" s="55"/>
      <c r="BG84" s="55"/>
    </row>
    <row r="85" spans="1:59" ht="14.1" customHeight="1" x14ac:dyDescent="0.25">
      <c r="A85" s="45"/>
      <c r="B85"/>
      <c r="C85"/>
      <c r="D85"/>
      <c r="E85"/>
      <c r="F85"/>
      <c r="G85"/>
      <c r="H85"/>
      <c r="I85"/>
      <c r="J85"/>
      <c r="K85"/>
      <c r="L85"/>
      <c r="M85"/>
      <c r="N85"/>
      <c r="O85" s="160" t="s">
        <v>7</v>
      </c>
      <c r="P85" s="402">
        <v>123669</v>
      </c>
      <c r="Q85" s="383">
        <v>0.98138655253073215</v>
      </c>
      <c r="R85" s="375">
        <v>0.97589554737194506</v>
      </c>
      <c r="S85" s="130">
        <v>0.97504393673110734</v>
      </c>
      <c r="T85" s="375">
        <v>0.96478296478296466</v>
      </c>
      <c r="U85" s="161">
        <v>0.96478296478296466</v>
      </c>
      <c r="V85"/>
      <c r="W85" s="467"/>
      <c r="X85" s="468">
        <v>6</v>
      </c>
      <c r="Y85" s="468" t="s">
        <v>7</v>
      </c>
      <c r="Z85" s="468">
        <v>10</v>
      </c>
      <c r="AA85" s="468" t="s">
        <v>8</v>
      </c>
      <c r="AB85" s="468">
        <v>6</v>
      </c>
      <c r="AC85" s="468" t="s">
        <v>7</v>
      </c>
      <c r="AD85" s="468">
        <v>10</v>
      </c>
      <c r="AE85" s="469" t="s">
        <v>8</v>
      </c>
      <c r="AG85" s="42"/>
      <c r="AH85" s="527" t="s">
        <v>192</v>
      </c>
      <c r="AI85" s="528"/>
      <c r="AJ85" s="527" t="s">
        <v>187</v>
      </c>
      <c r="AK85" s="528"/>
      <c r="AL85" s="527" t="s">
        <v>191</v>
      </c>
      <c r="AM85" s="528"/>
      <c r="AN85" s="527" t="s">
        <v>191</v>
      </c>
      <c r="AO85" s="528"/>
      <c r="AP85" s="100"/>
      <c r="AQ85" s="100"/>
      <c r="AR85" s="100"/>
      <c r="AS85" s="100"/>
      <c r="AT85" s="100"/>
      <c r="AU85" s="100"/>
      <c r="AV85" s="55"/>
      <c r="AW85" s="541"/>
      <c r="AX85" s="541"/>
      <c r="AY85" s="541"/>
      <c r="AZ85" s="541"/>
      <c r="BA85" s="304"/>
      <c r="BB85" s="55"/>
      <c r="BC85" s="55"/>
      <c r="BD85" s="55"/>
      <c r="BE85" s="55"/>
      <c r="BF85" s="55"/>
      <c r="BG85" s="55"/>
    </row>
    <row r="86" spans="1:59" ht="14.1" customHeight="1" x14ac:dyDescent="0.25">
      <c r="A86" s="100"/>
      <c r="B86"/>
      <c r="C86"/>
      <c r="D86"/>
      <c r="E86"/>
      <c r="F86"/>
      <c r="G86"/>
      <c r="H86"/>
      <c r="I86"/>
      <c r="J86"/>
      <c r="K86"/>
      <c r="L86"/>
      <c r="M86"/>
      <c r="N86"/>
      <c r="O86" s="160">
        <v>10</v>
      </c>
      <c r="P86" s="402">
        <v>123669</v>
      </c>
      <c r="Q86" s="383">
        <v>0.98234852681508145</v>
      </c>
      <c r="R86" s="375">
        <v>0.9799319727891157</v>
      </c>
      <c r="S86" s="130">
        <v>0.97339086659475016</v>
      </c>
      <c r="T86" s="375">
        <v>0.95440115440115447</v>
      </c>
      <c r="U86" s="161">
        <v>0.95440115440115447</v>
      </c>
      <c r="V86"/>
      <c r="W86" s="470" t="s">
        <v>264</v>
      </c>
      <c r="X86" s="178">
        <v>0.96199999999999997</v>
      </c>
      <c r="Y86" s="178">
        <v>0.96199999999999997</v>
      </c>
      <c r="Z86" s="178">
        <v>0.96299999999999997</v>
      </c>
      <c r="AA86" s="178">
        <v>0.96299999999999997</v>
      </c>
      <c r="AB86" s="178">
        <v>0.99299999999999999</v>
      </c>
      <c r="AC86" s="178">
        <v>0.99299999999999999</v>
      </c>
      <c r="AD86" s="178">
        <v>0.99399999999999999</v>
      </c>
      <c r="AE86" s="178">
        <v>0.99399999999999999</v>
      </c>
      <c r="AG86" s="55"/>
      <c r="AH86" s="523" t="s">
        <v>193</v>
      </c>
      <c r="AI86" s="524"/>
      <c r="AJ86" s="523" t="s">
        <v>187</v>
      </c>
      <c r="AK86" s="524"/>
      <c r="AL86" s="523" t="s">
        <v>191</v>
      </c>
      <c r="AM86" s="524"/>
      <c r="AN86" s="523" t="s">
        <v>191</v>
      </c>
      <c r="AO86" s="524"/>
      <c r="AP86" s="306"/>
      <c r="AQ86" s="306"/>
      <c r="AR86" s="306"/>
      <c r="AS86" s="306"/>
      <c r="AT86" s="306"/>
      <c r="AU86" s="306"/>
      <c r="AV86" s="306"/>
      <c r="AW86" s="541"/>
      <c r="AX86" s="541"/>
      <c r="AY86" s="541"/>
      <c r="AZ86" s="541"/>
      <c r="BA86" s="55"/>
      <c r="BB86" s="55"/>
      <c r="BC86" s="55"/>
      <c r="BD86" s="55"/>
      <c r="BE86" s="55"/>
      <c r="BF86" s="55"/>
      <c r="BG86" s="55"/>
    </row>
    <row r="87" spans="1:59" ht="14.1" customHeight="1" x14ac:dyDescent="0.25">
      <c r="A87" s="47"/>
      <c r="B87"/>
      <c r="C87"/>
      <c r="D87"/>
      <c r="E87"/>
      <c r="F87"/>
      <c r="G87"/>
      <c r="H87"/>
      <c r="I87"/>
      <c r="J87"/>
      <c r="K87"/>
      <c r="L87"/>
      <c r="M87"/>
      <c r="N87"/>
      <c r="O87" s="162" t="s">
        <v>8</v>
      </c>
      <c r="P87" s="406">
        <v>123669</v>
      </c>
      <c r="Q87" s="369">
        <v>0.98082623905006594</v>
      </c>
      <c r="R87" s="379">
        <v>0.9775390625</v>
      </c>
      <c r="S87" s="379">
        <v>0.97098445595854921</v>
      </c>
      <c r="T87" s="379">
        <v>0.94736842105263164</v>
      </c>
      <c r="U87" s="165">
        <v>0.94736842105263164</v>
      </c>
      <c r="V87"/>
      <c r="W87" s="471" t="s">
        <v>60</v>
      </c>
      <c r="X87" s="179">
        <v>0.97599999999999998</v>
      </c>
      <c r="Y87" s="179">
        <v>0.97599999999999998</v>
      </c>
      <c r="Z87" s="179">
        <v>0.97799999999999998</v>
      </c>
      <c r="AA87" s="179">
        <v>0.97799999999999998</v>
      </c>
      <c r="AB87" s="179">
        <v>1.0069999999999999</v>
      </c>
      <c r="AC87" s="179">
        <v>1.0069999999999999</v>
      </c>
      <c r="AD87" s="179">
        <v>1.014</v>
      </c>
      <c r="AE87" s="179">
        <v>1.014</v>
      </c>
      <c r="AG87" s="55"/>
      <c r="AH87" s="523" t="s">
        <v>194</v>
      </c>
      <c r="AI87" s="524"/>
      <c r="AJ87" s="523" t="s">
        <v>187</v>
      </c>
      <c r="AK87" s="524"/>
      <c r="AL87" s="523" t="s">
        <v>191</v>
      </c>
      <c r="AM87" s="524"/>
      <c r="AN87" s="523" t="s">
        <v>191</v>
      </c>
      <c r="AO87" s="524"/>
      <c r="AP87" s="306"/>
      <c r="AQ87" s="306"/>
      <c r="AR87" s="306"/>
      <c r="AS87" s="306"/>
      <c r="AT87" s="306"/>
      <c r="AU87" s="306"/>
      <c r="AV87" s="306"/>
      <c r="AW87" s="306"/>
      <c r="AX87" s="55"/>
      <c r="AY87" s="55"/>
      <c r="AZ87" s="55"/>
      <c r="BA87" s="55"/>
      <c r="BB87" s="55"/>
      <c r="BC87" s="55"/>
      <c r="BD87" s="55"/>
      <c r="BE87" s="55"/>
      <c r="BF87" s="55"/>
      <c r="BG87" s="55"/>
    </row>
    <row r="88" spans="1:59" ht="14.1" customHeight="1" x14ac:dyDescent="0.25">
      <c r="B88"/>
      <c r="C88"/>
      <c r="D88"/>
      <c r="E88"/>
      <c r="F88"/>
      <c r="G88"/>
      <c r="H88"/>
      <c r="I88"/>
      <c r="J88"/>
      <c r="K88"/>
      <c r="L88"/>
      <c r="M88"/>
      <c r="N88"/>
      <c r="O88" s="158">
        <v>6</v>
      </c>
      <c r="P88" s="398">
        <v>124007</v>
      </c>
      <c r="Q88" s="413">
        <v>0.98675260258961306</v>
      </c>
      <c r="R88" s="414">
        <v>0.98564814814814805</v>
      </c>
      <c r="S88" s="414">
        <v>0.98302618816682796</v>
      </c>
      <c r="T88" s="414">
        <v>0.97545327754532773</v>
      </c>
      <c r="U88" s="159">
        <v>0.97545327754532773</v>
      </c>
      <c r="V88"/>
      <c r="W88" s="472"/>
      <c r="X88" s="180"/>
      <c r="Y88" s="180"/>
      <c r="Z88" s="180"/>
      <c r="AA88" s="180"/>
      <c r="AB88" s="180"/>
      <c r="AC88" s="180"/>
      <c r="AD88" s="180"/>
      <c r="AE88" s="180"/>
      <c r="AG88" s="42"/>
      <c r="AH88" s="525" t="s">
        <v>195</v>
      </c>
      <c r="AI88" s="526"/>
      <c r="AJ88" s="525" t="s">
        <v>196</v>
      </c>
      <c r="AK88" s="526"/>
      <c r="AL88" s="525" t="s">
        <v>189</v>
      </c>
      <c r="AM88" s="526"/>
      <c r="AN88" s="525" t="s">
        <v>189</v>
      </c>
      <c r="AO88" s="526"/>
      <c r="AP88" s="306"/>
      <c r="AQ88" s="306"/>
      <c r="AR88" s="306"/>
      <c r="AS88" s="306"/>
      <c r="AT88" s="306"/>
      <c r="AU88" s="306"/>
      <c r="AV88" s="306"/>
      <c r="AW88" s="306"/>
      <c r="AX88" s="55"/>
      <c r="AY88" s="55"/>
      <c r="AZ88" s="55"/>
      <c r="BA88" s="55"/>
      <c r="BB88" s="55"/>
      <c r="BC88" s="55"/>
      <c r="BD88" s="55"/>
      <c r="BE88" s="55"/>
      <c r="BF88" s="55"/>
      <c r="BG88" s="55"/>
    </row>
    <row r="89" spans="1:59" ht="14.1" customHeight="1" x14ac:dyDescent="0.25">
      <c r="A89" s="51"/>
      <c r="B89"/>
      <c r="C89"/>
      <c r="D89"/>
      <c r="E89"/>
      <c r="F89"/>
      <c r="G89"/>
      <c r="H89"/>
      <c r="I89"/>
      <c r="J89"/>
      <c r="K89"/>
      <c r="L89"/>
      <c r="M89"/>
      <c r="N89"/>
      <c r="O89" s="160" t="s">
        <v>7</v>
      </c>
      <c r="P89" s="422">
        <v>124007</v>
      </c>
      <c r="Q89" s="383">
        <v>0.98817096728630016</v>
      </c>
      <c r="R89" s="375">
        <v>0.98693823334071284</v>
      </c>
      <c r="S89" s="375">
        <v>0.98739658238614403</v>
      </c>
      <c r="T89" s="375">
        <v>0.97228144989339016</v>
      </c>
      <c r="U89" s="161">
        <v>0.97228144989339016</v>
      </c>
      <c r="V89"/>
      <c r="W89" s="397"/>
      <c r="X89" s="397"/>
      <c r="Y89" s="433"/>
      <c r="Z89" s="433"/>
      <c r="AA89" s="433"/>
      <c r="AB89" s="433"/>
      <c r="AC89" s="433"/>
      <c r="AD89" s="433"/>
      <c r="AE89" s="433"/>
      <c r="AG89" s="42"/>
      <c r="AH89" s="307"/>
      <c r="AI89" s="308"/>
      <c r="AJ89" s="309"/>
      <c r="AK89" s="309"/>
      <c r="AL89" s="309"/>
      <c r="AM89" s="306"/>
      <c r="AN89" s="306"/>
      <c r="AO89" s="306"/>
      <c r="AP89" s="306"/>
      <c r="AQ89" s="306"/>
      <c r="AR89" s="306"/>
      <c r="AS89" s="306"/>
      <c r="AT89" s="306"/>
      <c r="AU89" s="306"/>
      <c r="AV89" s="306"/>
      <c r="AW89" s="306"/>
      <c r="AX89" s="55"/>
      <c r="AY89" s="55"/>
      <c r="AZ89" s="55"/>
      <c r="BA89" s="55"/>
      <c r="BB89" s="55"/>
      <c r="BC89" s="55"/>
      <c r="BD89" s="55"/>
      <c r="BE89" s="55"/>
      <c r="BF89" s="55"/>
      <c r="BG89" s="55"/>
    </row>
    <row r="90" spans="1:59" ht="14.1" customHeight="1" x14ac:dyDescent="0.25">
      <c r="A90" s="51"/>
      <c r="B90"/>
      <c r="C90"/>
      <c r="D90"/>
      <c r="E90"/>
      <c r="F90"/>
      <c r="G90"/>
      <c r="H90"/>
      <c r="I90"/>
      <c r="J90"/>
      <c r="K90"/>
      <c r="L90"/>
      <c r="M90"/>
      <c r="N90"/>
      <c r="O90" s="160">
        <v>10</v>
      </c>
      <c r="P90" s="422">
        <v>124007</v>
      </c>
      <c r="Q90" s="383">
        <v>0.9891918416403146</v>
      </c>
      <c r="R90" s="375">
        <v>0.98693254777551165</v>
      </c>
      <c r="S90" s="375">
        <v>0.98294908741594633</v>
      </c>
      <c r="T90" s="375">
        <v>0.96292103028587606</v>
      </c>
      <c r="U90" s="161">
        <v>0.96292103028587606</v>
      </c>
      <c r="V90"/>
      <c r="W90" s="473"/>
      <c r="X90" s="464" t="s">
        <v>393</v>
      </c>
      <c r="Y90" s="466"/>
      <c r="Z90" s="464" t="s">
        <v>394</v>
      </c>
      <c r="AA90" s="466"/>
      <c r="AB90" s="433"/>
      <c r="AC90" s="433"/>
      <c r="AD90" s="433"/>
      <c r="AE90" s="433"/>
      <c r="AG90" s="42"/>
      <c r="AH90" s="310" t="s">
        <v>293</v>
      </c>
      <c r="AI90" s="238" t="s">
        <v>333</v>
      </c>
      <c r="AJ90" s="93" t="s">
        <v>334</v>
      </c>
      <c r="AK90" s="238"/>
      <c r="AL90" s="238"/>
      <c r="AM90" s="238"/>
      <c r="AN90" s="238"/>
      <c r="AO90" s="238"/>
      <c r="AP90" s="311"/>
      <c r="AQ90" s="306"/>
      <c r="AR90" s="306"/>
      <c r="AS90" s="306"/>
      <c r="AT90" s="306"/>
      <c r="AU90" s="306"/>
      <c r="AV90" s="306"/>
      <c r="AW90" s="306"/>
      <c r="AX90" s="55"/>
      <c r="AY90" s="55"/>
      <c r="AZ90" s="55"/>
      <c r="BA90" s="55"/>
      <c r="BB90" s="55"/>
      <c r="BC90" s="55"/>
      <c r="BD90" s="55"/>
      <c r="BE90" s="55"/>
      <c r="BF90" s="55"/>
      <c r="BG90" s="55"/>
    </row>
    <row r="91" spans="1:59" ht="14.1" customHeight="1" x14ac:dyDescent="0.25">
      <c r="A91" s="51"/>
      <c r="B91" s="51"/>
      <c r="C91" s="145"/>
      <c r="D91" s="145"/>
      <c r="E91" s="145"/>
      <c r="F91" s="145"/>
      <c r="G91" s="145"/>
      <c r="H91" s="145"/>
      <c r="I91" s="145"/>
      <c r="J91" s="56"/>
      <c r="K91" s="56"/>
      <c r="L91" s="56"/>
      <c r="M91" s="56"/>
      <c r="N91" s="56"/>
      <c r="O91" s="162" t="s">
        <v>8</v>
      </c>
      <c r="P91" s="423">
        <v>124007</v>
      </c>
      <c r="Q91" s="369">
        <v>0.98853251134531261</v>
      </c>
      <c r="R91" s="379">
        <v>0.98599799971424462</v>
      </c>
      <c r="S91" s="379">
        <v>0.98411688999924274</v>
      </c>
      <c r="T91" s="379">
        <v>0.95957118197510671</v>
      </c>
      <c r="U91" s="165">
        <v>0.95957118197510671</v>
      </c>
      <c r="V91"/>
      <c r="W91" s="473"/>
      <c r="X91" s="474" t="s">
        <v>58</v>
      </c>
      <c r="Y91" s="474" t="s">
        <v>59</v>
      </c>
      <c r="Z91" s="475" t="s">
        <v>58</v>
      </c>
      <c r="AA91" s="476" t="s">
        <v>59</v>
      </c>
      <c r="AB91" s="433"/>
      <c r="AC91" s="433"/>
      <c r="AD91" s="433"/>
      <c r="AE91" s="433"/>
      <c r="AG91" s="42"/>
      <c r="AH91" s="312"/>
      <c r="AP91" s="313"/>
      <c r="AQ91" s="306"/>
      <c r="AR91" s="306"/>
      <c r="AS91" s="306"/>
      <c r="AT91" s="306"/>
      <c r="AU91" s="306"/>
      <c r="AV91" s="306"/>
      <c r="AW91" s="306"/>
      <c r="AX91" s="55"/>
      <c r="AY91" s="55"/>
      <c r="AZ91" s="55"/>
      <c r="BA91" s="55"/>
      <c r="BB91" s="55"/>
      <c r="BC91" s="55"/>
      <c r="BD91" s="55"/>
      <c r="BE91" s="55"/>
      <c r="BF91" s="55"/>
      <c r="BG91" s="55"/>
    </row>
    <row r="92" spans="1:59" ht="14.1" customHeight="1" x14ac:dyDescent="0.25">
      <c r="A92" s="51"/>
      <c r="B92" s="51"/>
      <c r="C92" s="233" t="s">
        <v>197</v>
      </c>
      <c r="D92" s="233"/>
      <c r="F92" s="233"/>
      <c r="G92" s="233"/>
      <c r="H92" s="233"/>
      <c r="I92" s="233"/>
      <c r="J92" s="233"/>
      <c r="K92" s="233"/>
      <c r="L92" s="51"/>
      <c r="M92" s="51"/>
      <c r="N92" s="39"/>
      <c r="O92" s="296">
        <v>6</v>
      </c>
      <c r="P92" s="398">
        <v>124008</v>
      </c>
      <c r="Q92" s="413">
        <v>0.98286888156562879</v>
      </c>
      <c r="R92" s="414">
        <v>0.98591549295774639</v>
      </c>
      <c r="S92" s="414">
        <v>0.9808806488991888</v>
      </c>
      <c r="T92" s="414">
        <v>0.9717420212765957</v>
      </c>
      <c r="U92" s="159">
        <v>0.9717420212765957</v>
      </c>
      <c r="V92"/>
      <c r="W92" s="477" t="s">
        <v>395</v>
      </c>
      <c r="X92" s="178">
        <v>0.875</v>
      </c>
      <c r="Y92" s="178">
        <v>0.876</v>
      </c>
      <c r="Z92" s="178">
        <v>0.92</v>
      </c>
      <c r="AA92" s="178">
        <v>0.91</v>
      </c>
      <c r="AB92" s="433"/>
      <c r="AC92" s="433"/>
      <c r="AD92" s="433"/>
      <c r="AE92" s="433"/>
      <c r="AH92" s="315" t="s">
        <v>209</v>
      </c>
      <c r="AI92" s="230">
        <v>1</v>
      </c>
      <c r="AJ92" s="230">
        <v>6</v>
      </c>
      <c r="AK92" s="230" t="s">
        <v>7</v>
      </c>
      <c r="AL92" s="230">
        <v>10</v>
      </c>
      <c r="AM92" s="230" t="s">
        <v>8</v>
      </c>
      <c r="AN92" s="230">
        <v>15</v>
      </c>
      <c r="AO92" s="230">
        <v>18</v>
      </c>
      <c r="AP92" s="316"/>
      <c r="AQ92" s="306"/>
      <c r="AR92" s="306"/>
      <c r="AS92" s="306"/>
      <c r="AT92" s="306"/>
      <c r="AU92" s="306"/>
      <c r="AV92" s="306"/>
      <c r="AW92" s="306"/>
      <c r="AX92" s="55"/>
      <c r="AY92" s="55"/>
      <c r="AZ92" s="55"/>
      <c r="BA92" s="55"/>
      <c r="BB92" s="55"/>
      <c r="BC92" s="55"/>
      <c r="BD92" s="55"/>
      <c r="BE92" s="55"/>
      <c r="BF92" s="55"/>
      <c r="BG92" s="55"/>
    </row>
    <row r="93" spans="1:59" ht="14.1" customHeight="1" x14ac:dyDescent="0.25">
      <c r="A93" s="51"/>
      <c r="B93" s="51"/>
      <c r="C93" s="235" t="s">
        <v>198</v>
      </c>
      <c r="D93" s="236" t="s">
        <v>199</v>
      </c>
      <c r="E93" s="237" t="s">
        <v>200</v>
      </c>
      <c r="F93" s="237" t="s">
        <v>201</v>
      </c>
      <c r="G93" s="237" t="s">
        <v>202</v>
      </c>
      <c r="H93" s="439" t="s">
        <v>203</v>
      </c>
      <c r="I93" s="439"/>
      <c r="J93" s="236" t="s">
        <v>204</v>
      </c>
      <c r="K93" s="236" t="s">
        <v>205</v>
      </c>
      <c r="L93" s="452" t="s">
        <v>206</v>
      </c>
      <c r="M93" s="453"/>
      <c r="N93" s="39"/>
      <c r="O93" s="297" t="s">
        <v>7</v>
      </c>
      <c r="P93" s="402">
        <v>124008</v>
      </c>
      <c r="Q93" s="383">
        <v>0.98402101358582272</v>
      </c>
      <c r="R93" s="375">
        <v>0.98518518518518527</v>
      </c>
      <c r="S93" s="375">
        <v>0.97732927840752004</v>
      </c>
      <c r="T93" s="375">
        <v>0.96139686546755021</v>
      </c>
      <c r="U93" s="161">
        <v>0.96139686546755021</v>
      </c>
      <c r="V93"/>
      <c r="W93" s="477" t="s">
        <v>396</v>
      </c>
      <c r="X93" s="179">
        <v>0.95299999999999996</v>
      </c>
      <c r="Y93" s="179">
        <v>0.95499999999999996</v>
      </c>
      <c r="Z93" s="179">
        <v>0.98199999999999998</v>
      </c>
      <c r="AA93" s="179">
        <v>0.97299999999999998</v>
      </c>
      <c r="AB93" s="433"/>
      <c r="AC93" s="433"/>
      <c r="AD93" s="433"/>
      <c r="AE93" s="433"/>
      <c r="AG93" s="42"/>
      <c r="AH93" s="315" t="s">
        <v>255</v>
      </c>
      <c r="AI93" s="230">
        <v>2</v>
      </c>
      <c r="AJ93" s="230">
        <v>6</v>
      </c>
      <c r="AK93" s="230" t="s">
        <v>7</v>
      </c>
      <c r="AL93" s="230">
        <v>10</v>
      </c>
      <c r="AM93" s="230" t="s">
        <v>8</v>
      </c>
      <c r="AN93" s="230"/>
      <c r="AO93" s="230"/>
      <c r="AP93" s="317"/>
      <c r="AQ93" s="208"/>
      <c r="AR93" s="318"/>
      <c r="AS93" s="318"/>
      <c r="AT93" s="318"/>
      <c r="AU93" s="318"/>
      <c r="AV93" s="318"/>
      <c r="AW93" s="318"/>
      <c r="AX93" s="55"/>
      <c r="AY93" s="55"/>
      <c r="AZ93" s="55"/>
      <c r="BA93" s="55"/>
      <c r="BB93" s="55"/>
      <c r="BC93" s="55"/>
      <c r="BD93" s="55"/>
      <c r="BE93" s="55"/>
      <c r="BF93" s="55"/>
      <c r="BG93" s="55"/>
    </row>
    <row r="94" spans="1:59" ht="14.1" customHeight="1" x14ac:dyDescent="0.25">
      <c r="A94" s="51"/>
      <c r="B94" s="51"/>
      <c r="C94" s="239"/>
      <c r="D94" s="240"/>
      <c r="E94" s="240" t="s">
        <v>153</v>
      </c>
      <c r="F94" s="240" t="s">
        <v>30</v>
      </c>
      <c r="G94" s="256" t="s">
        <v>207</v>
      </c>
      <c r="H94" s="440" t="s">
        <v>30</v>
      </c>
      <c r="I94" s="440"/>
      <c r="J94" s="240" t="s">
        <v>208</v>
      </c>
      <c r="K94" s="240"/>
      <c r="L94" s="241" t="s">
        <v>208</v>
      </c>
      <c r="M94" s="454"/>
      <c r="N94" s="39"/>
      <c r="O94" s="297">
        <v>10</v>
      </c>
      <c r="P94" s="402">
        <v>124008</v>
      </c>
      <c r="Q94" s="383">
        <v>0.98612570464566107</v>
      </c>
      <c r="R94" s="375">
        <v>0.98637061106598078</v>
      </c>
      <c r="S94" s="375">
        <v>0.98012232415902145</v>
      </c>
      <c r="T94" s="375">
        <v>0.95905245346869716</v>
      </c>
      <c r="U94" s="161">
        <v>0.95905245346869716</v>
      </c>
      <c r="V94"/>
      <c r="W94" s="477" t="s">
        <v>397</v>
      </c>
      <c r="X94" s="179">
        <v>0.97099999999999997</v>
      </c>
      <c r="Y94" s="179"/>
      <c r="Z94" s="179">
        <v>1.002</v>
      </c>
      <c r="AA94" s="179"/>
      <c r="AB94" s="433"/>
      <c r="AC94" s="433"/>
      <c r="AD94" s="433"/>
      <c r="AE94" s="433"/>
      <c r="AG94" s="42"/>
      <c r="AH94" s="315" t="s">
        <v>258</v>
      </c>
      <c r="AI94" s="230">
        <v>3</v>
      </c>
      <c r="AJ94" s="230">
        <v>6</v>
      </c>
      <c r="AK94" s="230" t="s">
        <v>7</v>
      </c>
      <c r="AL94" s="230">
        <v>10</v>
      </c>
      <c r="AM94" s="230" t="s">
        <v>8</v>
      </c>
      <c r="AN94" s="230"/>
      <c r="AO94" s="230"/>
      <c r="AP94" s="317"/>
      <c r="AQ94" s="208"/>
      <c r="AR94" s="55"/>
      <c r="AS94" s="55"/>
      <c r="AT94" s="55"/>
      <c r="AU94" s="55"/>
      <c r="AV94" s="55"/>
      <c r="AW94" s="55"/>
      <c r="AX94" s="55"/>
      <c r="AY94" s="55"/>
      <c r="AZ94" s="55"/>
      <c r="BA94" s="55"/>
      <c r="BB94" s="55"/>
      <c r="BC94" s="55"/>
      <c r="BD94" s="55"/>
      <c r="BE94" s="55"/>
      <c r="BF94" s="55"/>
      <c r="BG94" s="55"/>
    </row>
    <row r="95" spans="1:59" ht="14.1" customHeight="1" x14ac:dyDescent="0.25">
      <c r="A95" s="51"/>
      <c r="B95" s="233" t="s">
        <v>209</v>
      </c>
      <c r="C95" s="242">
        <v>2</v>
      </c>
      <c r="D95" s="243">
        <v>1</v>
      </c>
      <c r="E95" s="243">
        <v>2</v>
      </c>
      <c r="F95" s="243">
        <v>90</v>
      </c>
      <c r="G95" s="243" t="s">
        <v>210</v>
      </c>
      <c r="H95" s="441" t="s">
        <v>211</v>
      </c>
      <c r="I95" s="441"/>
      <c r="J95" s="243" t="s">
        <v>18</v>
      </c>
      <c r="K95" s="244">
        <v>2</v>
      </c>
      <c r="L95" s="455" t="s">
        <v>212</v>
      </c>
      <c r="M95" s="456"/>
      <c r="N95" s="39"/>
      <c r="O95" s="134" t="s">
        <v>8</v>
      </c>
      <c r="P95" s="406">
        <v>124008</v>
      </c>
      <c r="Q95" s="383">
        <v>0.98684464947586803</v>
      </c>
      <c r="R95" s="375">
        <v>0.9838378655720883</v>
      </c>
      <c r="S95" s="375">
        <v>0.97781399981888983</v>
      </c>
      <c r="T95" s="375">
        <v>0.94789988183478358</v>
      </c>
      <c r="U95" s="161">
        <v>0.94789988183478358</v>
      </c>
      <c r="V95"/>
      <c r="W95" s="477" t="s">
        <v>398</v>
      </c>
      <c r="X95" s="179">
        <v>0.96599999999999997</v>
      </c>
      <c r="Y95" s="179"/>
      <c r="Z95" s="179">
        <v>0.98199999999999998</v>
      </c>
      <c r="AA95" s="179"/>
      <c r="AB95" s="433"/>
      <c r="AC95" s="433"/>
      <c r="AD95" s="433"/>
      <c r="AE95" s="433"/>
      <c r="AG95" s="42"/>
      <c r="AH95" s="315" t="s">
        <v>262</v>
      </c>
      <c r="AI95" s="230">
        <v>4</v>
      </c>
      <c r="AJ95" s="230">
        <v>6</v>
      </c>
      <c r="AK95" s="230" t="s">
        <v>7</v>
      </c>
      <c r="AL95" s="230">
        <v>10</v>
      </c>
      <c r="AM95" s="230" t="s">
        <v>8</v>
      </c>
      <c r="AN95" s="230"/>
      <c r="AO95" s="230"/>
      <c r="AP95" s="317"/>
      <c r="AQ95" s="208"/>
      <c r="AR95" s="100"/>
      <c r="AS95" s="100"/>
      <c r="AT95" s="100"/>
      <c r="AU95" s="100"/>
      <c r="AV95" s="100"/>
      <c r="AW95" s="55"/>
      <c r="AX95" s="55"/>
      <c r="AY95" s="55"/>
      <c r="AZ95" s="55"/>
      <c r="BA95" s="55"/>
      <c r="BB95" s="55"/>
      <c r="BC95" s="55"/>
      <c r="BD95" s="55"/>
      <c r="BE95" s="55"/>
      <c r="BF95" s="55"/>
      <c r="BG95" s="55"/>
    </row>
    <row r="96" spans="1:59" ht="14.1" customHeight="1" x14ac:dyDescent="0.25">
      <c r="A96" s="51"/>
      <c r="B96" s="51"/>
      <c r="C96" s="242">
        <v>3</v>
      </c>
      <c r="D96" s="243">
        <v>1</v>
      </c>
      <c r="E96" s="243">
        <v>2</v>
      </c>
      <c r="F96" s="243">
        <v>90</v>
      </c>
      <c r="G96" s="243" t="s">
        <v>210</v>
      </c>
      <c r="H96" s="441" t="s">
        <v>213</v>
      </c>
      <c r="I96" s="441"/>
      <c r="J96" s="243" t="s">
        <v>18</v>
      </c>
      <c r="K96" s="244">
        <v>2</v>
      </c>
      <c r="L96" s="455" t="s">
        <v>212</v>
      </c>
      <c r="M96" s="456"/>
      <c r="N96" s="39"/>
      <c r="O96" s="296">
        <v>6</v>
      </c>
      <c r="P96" s="376">
        <v>124146</v>
      </c>
      <c r="Q96" s="413">
        <v>0.98391593394810206</v>
      </c>
      <c r="R96" s="414">
        <v>0.98029307731177351</v>
      </c>
      <c r="S96" s="414">
        <v>0.97824933687002646</v>
      </c>
      <c r="T96" s="414">
        <v>0.9626253418413856</v>
      </c>
      <c r="U96" s="159">
        <v>0.9626253418413856</v>
      </c>
      <c r="V96"/>
      <c r="W96" s="477" t="s">
        <v>399</v>
      </c>
      <c r="X96" s="180">
        <v>1.0529999999999999</v>
      </c>
      <c r="Y96" s="180"/>
      <c r="Z96" s="180">
        <v>1.0920000000000001</v>
      </c>
      <c r="AA96" s="180"/>
      <c r="AB96" s="433"/>
      <c r="AC96" s="433"/>
      <c r="AD96" s="433"/>
      <c r="AE96" s="433"/>
      <c r="AG96" s="42"/>
      <c r="AH96" s="315" t="s">
        <v>29</v>
      </c>
      <c r="AI96" s="230">
        <v>5</v>
      </c>
      <c r="AJ96" s="230" t="s">
        <v>7</v>
      </c>
      <c r="AK96" s="230"/>
      <c r="AL96" s="230"/>
      <c r="AM96" s="230"/>
      <c r="AN96" s="230"/>
      <c r="AO96" s="230"/>
      <c r="AP96" s="317"/>
      <c r="AQ96" s="208"/>
      <c r="AR96" s="100"/>
      <c r="AS96" s="100"/>
      <c r="AT96" s="100"/>
      <c r="AU96" s="100"/>
      <c r="AV96" s="100"/>
      <c r="AW96" s="55"/>
      <c r="AX96" s="55"/>
      <c r="AY96" s="55"/>
      <c r="AZ96" s="55"/>
      <c r="BA96" s="55"/>
      <c r="BB96" s="55"/>
      <c r="BC96" s="55"/>
      <c r="BD96" s="55"/>
      <c r="BE96" s="55"/>
      <c r="BF96" s="55"/>
      <c r="BG96" s="55"/>
    </row>
    <row r="97" spans="1:59" ht="14.1" customHeight="1" x14ac:dyDescent="0.25">
      <c r="A97" s="51"/>
      <c r="B97" s="51"/>
      <c r="C97" s="242">
        <v>4</v>
      </c>
      <c r="D97" s="243">
        <v>1</v>
      </c>
      <c r="E97" s="243">
        <v>1</v>
      </c>
      <c r="F97" s="243">
        <v>85</v>
      </c>
      <c r="G97" s="243" t="s">
        <v>214</v>
      </c>
      <c r="H97" s="441" t="s">
        <v>215</v>
      </c>
      <c r="I97" s="441"/>
      <c r="J97" s="243" t="s">
        <v>18</v>
      </c>
      <c r="K97" s="243">
        <v>1</v>
      </c>
      <c r="L97" s="455" t="s">
        <v>216</v>
      </c>
      <c r="M97" s="456"/>
      <c r="N97" s="39"/>
      <c r="O97" s="297" t="s">
        <v>7</v>
      </c>
      <c r="P97" s="376">
        <v>124146</v>
      </c>
      <c r="Q97" s="383">
        <v>0.98550109625857552</v>
      </c>
      <c r="R97" s="375">
        <v>0.98135593220338979</v>
      </c>
      <c r="S97" s="375">
        <v>0.97619650544441638</v>
      </c>
      <c r="T97" s="375">
        <v>0.96339337594421837</v>
      </c>
      <c r="U97" s="161">
        <v>0.96339337594421837</v>
      </c>
      <c r="V97"/>
      <c r="W97"/>
      <c r="X97"/>
      <c r="Y97"/>
      <c r="Z97"/>
      <c r="AA97"/>
      <c r="AB97"/>
      <c r="AC97"/>
      <c r="AD97"/>
      <c r="AE97"/>
      <c r="AG97" s="42"/>
      <c r="AH97" s="315" t="s">
        <v>308</v>
      </c>
      <c r="AI97" s="230">
        <v>6</v>
      </c>
      <c r="AJ97" s="230">
        <v>6</v>
      </c>
      <c r="AK97" s="230" t="s">
        <v>7</v>
      </c>
      <c r="AL97" s="230"/>
      <c r="AM97" s="230"/>
      <c r="AN97" s="230"/>
      <c r="AO97" s="230"/>
      <c r="AP97" s="317"/>
      <c r="AQ97" s="208"/>
      <c r="AR97" s="100"/>
      <c r="AS97" s="100"/>
      <c r="AT97" s="100"/>
      <c r="AU97" s="100"/>
      <c r="AV97" s="100"/>
      <c r="AW97" s="55"/>
      <c r="AX97" s="55"/>
      <c r="AY97" s="55"/>
      <c r="AZ97" s="55"/>
      <c r="BA97" s="55"/>
      <c r="BB97" s="55"/>
      <c r="BC97" s="55"/>
      <c r="BD97" s="55"/>
      <c r="BE97" s="55"/>
      <c r="BF97" s="55"/>
      <c r="BG97" s="55"/>
    </row>
    <row r="98" spans="1:59" ht="14.1" customHeight="1" x14ac:dyDescent="0.25">
      <c r="A98" s="51"/>
      <c r="B98" s="51"/>
      <c r="C98" s="242">
        <v>5</v>
      </c>
      <c r="D98" s="243">
        <v>1</v>
      </c>
      <c r="E98" s="243">
        <v>1</v>
      </c>
      <c r="F98" s="243">
        <v>85</v>
      </c>
      <c r="G98" s="243" t="s">
        <v>214</v>
      </c>
      <c r="H98" s="441" t="s">
        <v>215</v>
      </c>
      <c r="I98" s="441"/>
      <c r="J98" s="243" t="s">
        <v>217</v>
      </c>
      <c r="K98" s="243">
        <v>1</v>
      </c>
      <c r="L98" s="455" t="s">
        <v>216</v>
      </c>
      <c r="M98" s="456"/>
      <c r="N98" s="39"/>
      <c r="O98" s="297">
        <v>10</v>
      </c>
      <c r="P98" s="376">
        <v>124146</v>
      </c>
      <c r="Q98" s="383">
        <v>0.98675828501896778</v>
      </c>
      <c r="R98" s="375">
        <v>0.98017348203221799</v>
      </c>
      <c r="S98" s="375">
        <v>0.97639034627492138</v>
      </c>
      <c r="T98" s="375">
        <v>0.95718274899162259</v>
      </c>
      <c r="U98" s="161">
        <v>0.95718274899162259</v>
      </c>
      <c r="AG98" s="42"/>
      <c r="AH98" s="315" t="s">
        <v>309</v>
      </c>
      <c r="AI98" s="230">
        <v>7</v>
      </c>
      <c r="AJ98" s="230" t="s">
        <v>7</v>
      </c>
      <c r="AK98" s="230"/>
      <c r="AL98" s="230"/>
      <c r="AM98" s="230"/>
      <c r="AN98" s="230"/>
      <c r="AO98" s="230"/>
      <c r="AP98" s="317"/>
      <c r="AQ98" s="208"/>
      <c r="AR98" s="100"/>
      <c r="AS98" s="100"/>
      <c r="AT98" s="100"/>
      <c r="AU98" s="100"/>
      <c r="AV98" s="100"/>
      <c r="AW98" s="55"/>
      <c r="AX98" s="55"/>
      <c r="AY98" s="55"/>
      <c r="AZ98" s="55"/>
      <c r="BA98" s="55"/>
      <c r="BB98" s="55"/>
      <c r="BC98" s="55"/>
      <c r="BD98" s="55"/>
      <c r="BE98" s="55"/>
      <c r="BF98" s="55"/>
      <c r="BG98" s="55"/>
    </row>
    <row r="99" spans="1:59" ht="14.1" customHeight="1" x14ac:dyDescent="0.25">
      <c r="A99" s="51"/>
      <c r="B99" s="51"/>
      <c r="C99" s="242">
        <v>6</v>
      </c>
      <c r="D99" s="243">
        <v>1</v>
      </c>
      <c r="E99" s="243">
        <v>1</v>
      </c>
      <c r="F99" s="243">
        <v>85</v>
      </c>
      <c r="G99" s="243" t="s">
        <v>214</v>
      </c>
      <c r="H99" s="441" t="s">
        <v>218</v>
      </c>
      <c r="I99" s="441"/>
      <c r="J99" s="243" t="s">
        <v>18</v>
      </c>
      <c r="K99" s="243" t="s">
        <v>219</v>
      </c>
      <c r="L99" s="455" t="s">
        <v>216</v>
      </c>
      <c r="M99" s="456"/>
      <c r="N99" s="39"/>
      <c r="O99" s="134" t="s">
        <v>8</v>
      </c>
      <c r="P99" s="384">
        <v>124146</v>
      </c>
      <c r="Q99" s="369">
        <v>0.9862224096724308</v>
      </c>
      <c r="R99" s="379">
        <v>0.9805438349742146</v>
      </c>
      <c r="S99" s="379">
        <v>0.97395187298437125</v>
      </c>
      <c r="T99" s="379">
        <v>0.95341246290801185</v>
      </c>
      <c r="U99" s="165">
        <v>0.95341246290801185</v>
      </c>
      <c r="AG99" s="42"/>
      <c r="AH99" s="315" t="s">
        <v>321</v>
      </c>
      <c r="AI99" s="230">
        <v>8</v>
      </c>
      <c r="AJ99" s="230">
        <v>6</v>
      </c>
      <c r="AK99" s="230" t="s">
        <v>7</v>
      </c>
      <c r="AL99" s="230">
        <v>10</v>
      </c>
      <c r="AM99" s="230" t="s">
        <v>8</v>
      </c>
      <c r="AN99" s="230"/>
      <c r="AO99" s="230"/>
      <c r="AP99" s="227"/>
      <c r="AQ99" s="100"/>
      <c r="AR99" s="100"/>
      <c r="AS99" s="100"/>
      <c r="AT99" s="100"/>
      <c r="AU99" s="100"/>
      <c r="AV99" s="55"/>
      <c r="AW99" s="55"/>
      <c r="AX99" s="55"/>
      <c r="AY99" s="55"/>
      <c r="AZ99" s="55"/>
      <c r="BA99" s="55"/>
      <c r="BB99" s="55"/>
      <c r="BC99" s="55"/>
      <c r="BD99" s="55"/>
      <c r="BE99" s="55"/>
      <c r="BF99" s="55"/>
      <c r="BG99" s="55"/>
    </row>
    <row r="100" spans="1:59" ht="14.1" customHeight="1" x14ac:dyDescent="0.25">
      <c r="A100" s="51"/>
      <c r="B100" s="51"/>
      <c r="C100" s="242">
        <v>7</v>
      </c>
      <c r="D100" s="243">
        <v>1</v>
      </c>
      <c r="E100" s="243">
        <v>1</v>
      </c>
      <c r="F100" s="243">
        <v>85</v>
      </c>
      <c r="G100" s="243" t="s">
        <v>214</v>
      </c>
      <c r="H100" s="441" t="s">
        <v>218</v>
      </c>
      <c r="I100" s="441"/>
      <c r="J100" s="243" t="s">
        <v>220</v>
      </c>
      <c r="K100" s="243" t="s">
        <v>219</v>
      </c>
      <c r="L100" s="455" t="s">
        <v>216</v>
      </c>
      <c r="M100" s="456"/>
      <c r="N100" s="39"/>
      <c r="O100" s="296">
        <v>6</v>
      </c>
      <c r="P100" s="398"/>
      <c r="Q100" s="413"/>
      <c r="R100" s="414"/>
      <c r="S100" s="414"/>
      <c r="T100" s="414"/>
      <c r="U100" s="159" t="s">
        <v>409</v>
      </c>
      <c r="AG100" s="42"/>
      <c r="AH100" s="319" t="s">
        <v>322</v>
      </c>
      <c r="AI100" s="252">
        <v>9</v>
      </c>
      <c r="AJ100" s="252"/>
      <c r="AK100" s="252"/>
      <c r="AL100" s="252"/>
      <c r="AM100" s="252"/>
      <c r="AN100" s="252"/>
      <c r="AO100" s="252"/>
      <c r="AP100" s="320" t="s">
        <v>335</v>
      </c>
      <c r="AQ100" s="55"/>
      <c r="AR100" s="55"/>
      <c r="AS100" s="55"/>
      <c r="AT100" s="55"/>
      <c r="AU100" s="55"/>
      <c r="AV100" s="55"/>
      <c r="AW100" s="55"/>
      <c r="AX100" s="55"/>
      <c r="AY100" s="55"/>
      <c r="AZ100" s="55"/>
      <c r="BA100" s="55"/>
      <c r="BB100" s="55"/>
      <c r="BC100" s="55"/>
      <c r="BD100" s="55"/>
      <c r="BE100" s="55"/>
      <c r="BF100" s="55"/>
      <c r="BG100" s="55"/>
    </row>
    <row r="101" spans="1:59" ht="14.1" customHeight="1" x14ac:dyDescent="0.25">
      <c r="A101" s="51"/>
      <c r="B101" s="51"/>
      <c r="C101" s="242">
        <v>8</v>
      </c>
      <c r="D101" s="243">
        <v>1</v>
      </c>
      <c r="E101" s="243">
        <v>1</v>
      </c>
      <c r="F101" s="243">
        <v>85</v>
      </c>
      <c r="G101" s="243" t="s">
        <v>210</v>
      </c>
      <c r="H101" s="441" t="s">
        <v>221</v>
      </c>
      <c r="I101" s="441"/>
      <c r="J101" s="243" t="s">
        <v>18</v>
      </c>
      <c r="K101" s="243">
        <v>1</v>
      </c>
      <c r="L101" s="455" t="s">
        <v>212</v>
      </c>
      <c r="M101" s="456"/>
      <c r="N101" s="39"/>
      <c r="O101" s="297" t="s">
        <v>7</v>
      </c>
      <c r="P101" s="402"/>
      <c r="Q101" s="383"/>
      <c r="R101" s="375"/>
      <c r="S101" s="375"/>
      <c r="T101" s="375"/>
      <c r="U101" s="161" t="s">
        <v>409</v>
      </c>
      <c r="AG101" s="42"/>
      <c r="AH101" s="51"/>
      <c r="AI101" s="51"/>
      <c r="AJ101" s="51"/>
      <c r="AK101" s="51"/>
      <c r="AL101" s="51"/>
      <c r="AM101" s="51"/>
      <c r="AN101" s="51"/>
      <c r="AO101" s="51"/>
      <c r="AP101" s="42"/>
      <c r="AQ101" s="51"/>
      <c r="AR101" s="51"/>
      <c r="AS101" s="51"/>
      <c r="AT101" s="51"/>
      <c r="AU101" s="51"/>
      <c r="AV101" s="51"/>
      <c r="AW101" s="51"/>
      <c r="AX101" s="51"/>
      <c r="AY101" s="51"/>
      <c r="AZ101" s="51"/>
      <c r="BA101" s="51"/>
      <c r="BB101" s="51"/>
      <c r="BC101" s="51"/>
      <c r="BD101" s="51"/>
      <c r="BE101" s="51"/>
      <c r="BF101" s="51"/>
      <c r="BG101" s="51"/>
    </row>
    <row r="102" spans="1:59" ht="14.1" customHeight="1" x14ac:dyDescent="0.25">
      <c r="A102" s="51"/>
      <c r="B102" s="51"/>
      <c r="C102" s="242">
        <v>9</v>
      </c>
      <c r="D102" s="243">
        <v>2</v>
      </c>
      <c r="E102" s="243">
        <v>1</v>
      </c>
      <c r="F102" s="243">
        <v>85</v>
      </c>
      <c r="G102" s="243" t="s">
        <v>210</v>
      </c>
      <c r="H102" s="441" t="s">
        <v>222</v>
      </c>
      <c r="I102" s="441"/>
      <c r="J102" s="243" t="s">
        <v>18</v>
      </c>
      <c r="K102" s="243">
        <v>1</v>
      </c>
      <c r="L102" s="455" t="s">
        <v>216</v>
      </c>
      <c r="M102" s="456"/>
      <c r="N102" s="39"/>
      <c r="O102" s="297">
        <v>10</v>
      </c>
      <c r="P102" s="402"/>
      <c r="Q102" s="383"/>
      <c r="R102" s="375"/>
      <c r="S102" s="375"/>
      <c r="T102" s="375"/>
      <c r="U102" s="161" t="s">
        <v>409</v>
      </c>
      <c r="AA102" s="51"/>
      <c r="AB102" s="51"/>
      <c r="AC102" s="51"/>
      <c r="AD102" s="51"/>
      <c r="AE102" s="51"/>
      <c r="AF102" s="42"/>
      <c r="AG102" s="42"/>
      <c r="AH102" s="51"/>
      <c r="AI102" s="51"/>
      <c r="AJ102" s="51"/>
      <c r="AK102" s="51"/>
      <c r="AL102" s="51"/>
      <c r="AM102" s="51"/>
      <c r="AN102" s="51"/>
      <c r="AO102" s="51"/>
      <c r="AP102" s="42"/>
      <c r="AQ102" s="51"/>
      <c r="AR102" s="51"/>
      <c r="AS102" s="51"/>
      <c r="AT102" s="51"/>
      <c r="AU102" s="51"/>
      <c r="AV102" s="51"/>
      <c r="AW102" s="51"/>
      <c r="AX102" s="51"/>
      <c r="AY102" s="51"/>
      <c r="AZ102" s="51"/>
      <c r="BA102" s="51"/>
      <c r="BB102" s="51"/>
      <c r="BC102" s="51"/>
      <c r="BD102" s="51"/>
      <c r="BE102" s="51"/>
      <c r="BF102" s="51"/>
      <c r="BG102" s="51"/>
    </row>
    <row r="103" spans="1:59" ht="14.1" customHeight="1" x14ac:dyDescent="0.25">
      <c r="A103" s="51"/>
      <c r="B103" s="51"/>
      <c r="C103" s="242">
        <v>10</v>
      </c>
      <c r="D103" s="243">
        <v>2</v>
      </c>
      <c r="E103" s="243">
        <v>1</v>
      </c>
      <c r="F103" s="243">
        <v>85</v>
      </c>
      <c r="G103" s="243" t="s">
        <v>210</v>
      </c>
      <c r="H103" s="441" t="s">
        <v>222</v>
      </c>
      <c r="I103" s="441"/>
      <c r="J103" s="243" t="s">
        <v>217</v>
      </c>
      <c r="K103" s="243">
        <v>1</v>
      </c>
      <c r="L103" s="455" t="s">
        <v>216</v>
      </c>
      <c r="M103" s="456"/>
      <c r="N103" s="39"/>
      <c r="O103" s="134" t="s">
        <v>8</v>
      </c>
      <c r="P103" s="174"/>
      <c r="Q103" s="383"/>
      <c r="R103" s="375"/>
      <c r="S103" s="375"/>
      <c r="T103" s="375"/>
      <c r="U103" s="161" t="s">
        <v>409</v>
      </c>
      <c r="AA103" s="51"/>
      <c r="AB103" s="51"/>
      <c r="AC103" s="51"/>
      <c r="AD103" s="51"/>
      <c r="AE103" s="51"/>
      <c r="AF103" s="42"/>
      <c r="AG103" s="42"/>
      <c r="AH103" s="51"/>
      <c r="AI103" s="51"/>
      <c r="AJ103" s="51"/>
      <c r="AK103" s="51"/>
      <c r="AL103" s="51"/>
      <c r="AM103" s="51"/>
      <c r="AN103" s="51"/>
      <c r="AO103" s="51"/>
      <c r="AP103" s="42"/>
      <c r="AQ103" s="51"/>
      <c r="AR103" s="51"/>
      <c r="AS103" s="51"/>
      <c r="AT103" s="51"/>
      <c r="AU103" s="51"/>
      <c r="AV103" s="51"/>
      <c r="AW103" s="51"/>
      <c r="AX103" s="51"/>
      <c r="AY103" s="51"/>
      <c r="AZ103" s="51"/>
      <c r="BA103" s="51"/>
      <c r="BB103" s="51"/>
      <c r="BC103" s="51"/>
      <c r="BD103" s="51"/>
      <c r="BE103" s="51"/>
      <c r="BF103" s="51"/>
      <c r="BG103" s="51"/>
    </row>
    <row r="104" spans="1:59" ht="14.1" customHeight="1" x14ac:dyDescent="0.25">
      <c r="A104" s="51"/>
      <c r="B104" s="51"/>
      <c r="C104" s="242">
        <v>11</v>
      </c>
      <c r="D104" s="243">
        <v>3</v>
      </c>
      <c r="E104" s="243">
        <v>1</v>
      </c>
      <c r="F104" s="243">
        <v>85</v>
      </c>
      <c r="G104" s="243" t="s">
        <v>214</v>
      </c>
      <c r="H104" s="441" t="s">
        <v>218</v>
      </c>
      <c r="I104" s="441"/>
      <c r="J104" s="243" t="s">
        <v>18</v>
      </c>
      <c r="K104" s="243" t="s">
        <v>219</v>
      </c>
      <c r="L104" s="455" t="s">
        <v>216</v>
      </c>
      <c r="M104" s="456"/>
      <c r="N104" s="39"/>
      <c r="O104" s="296">
        <v>6</v>
      </c>
      <c r="P104" s="398"/>
      <c r="Q104" s="413"/>
      <c r="R104" s="414"/>
      <c r="S104" s="414"/>
      <c r="T104" s="414"/>
      <c r="U104" s="159" t="s">
        <v>409</v>
      </c>
      <c r="AA104" s="51"/>
      <c r="AB104" s="51"/>
      <c r="AC104" s="51"/>
      <c r="AD104" s="51"/>
      <c r="AE104" s="51"/>
      <c r="AF104" s="42"/>
      <c r="AG104" s="42"/>
      <c r="AH104" s="51"/>
      <c r="AI104" s="51"/>
      <c r="AJ104" s="51"/>
      <c r="AK104" s="51"/>
      <c r="AL104" s="51"/>
      <c r="AM104" s="51"/>
      <c r="AN104" s="51"/>
      <c r="AO104" s="51"/>
      <c r="AP104" s="42"/>
      <c r="AQ104" s="51"/>
      <c r="AR104" s="51"/>
      <c r="AS104" s="51"/>
      <c r="AT104" s="51"/>
      <c r="AU104" s="51"/>
      <c r="AV104" s="51"/>
      <c r="AW104" s="51"/>
      <c r="AX104" s="51"/>
      <c r="AY104" s="51"/>
      <c r="AZ104" s="51"/>
      <c r="BA104" s="51"/>
      <c r="BB104" s="51"/>
      <c r="BC104" s="51"/>
      <c r="BD104" s="51"/>
      <c r="BE104" s="51"/>
      <c r="BF104" s="51"/>
      <c r="BG104" s="51"/>
    </row>
    <row r="105" spans="1:59" ht="14.1" customHeight="1" x14ac:dyDescent="0.25">
      <c r="A105" s="51"/>
      <c r="B105" s="51"/>
      <c r="C105" s="242">
        <v>12</v>
      </c>
      <c r="D105" s="243">
        <v>3</v>
      </c>
      <c r="E105" s="243">
        <v>1</v>
      </c>
      <c r="F105" s="243">
        <v>85</v>
      </c>
      <c r="G105" s="243" t="s">
        <v>214</v>
      </c>
      <c r="H105" s="441" t="s">
        <v>218</v>
      </c>
      <c r="I105" s="441"/>
      <c r="J105" s="243" t="s">
        <v>220</v>
      </c>
      <c r="K105" s="243" t="s">
        <v>219</v>
      </c>
      <c r="L105" s="455" t="s">
        <v>216</v>
      </c>
      <c r="M105" s="456"/>
      <c r="N105" s="39"/>
      <c r="O105" s="297" t="s">
        <v>7</v>
      </c>
      <c r="P105" s="402"/>
      <c r="Q105" s="383"/>
      <c r="R105" s="375"/>
      <c r="S105" s="375"/>
      <c r="T105" s="375"/>
      <c r="U105" s="161" t="s">
        <v>409</v>
      </c>
      <c r="AA105" s="51"/>
      <c r="AB105" s="51"/>
      <c r="AC105" s="51"/>
      <c r="AD105" s="51"/>
      <c r="AE105" s="51"/>
      <c r="AF105" s="42"/>
      <c r="AG105" s="42"/>
      <c r="AH105" s="51"/>
      <c r="AI105" s="51"/>
      <c r="AJ105" s="51"/>
      <c r="AK105" s="51"/>
      <c r="AL105" s="51"/>
      <c r="AM105" s="51"/>
      <c r="AN105" s="51"/>
      <c r="AO105" s="51"/>
      <c r="AP105" s="42"/>
      <c r="AQ105" s="51"/>
      <c r="AR105" s="51"/>
      <c r="AS105" s="51"/>
      <c r="AT105" s="51"/>
      <c r="AU105" s="51"/>
      <c r="AV105" s="51"/>
      <c r="AW105" s="51"/>
      <c r="AX105" s="51"/>
      <c r="AY105" s="51"/>
      <c r="AZ105" s="51"/>
      <c r="BA105" s="51"/>
      <c r="BB105" s="51"/>
      <c r="BC105" s="51"/>
      <c r="BD105" s="51"/>
      <c r="BE105" s="51"/>
      <c r="BF105" s="51"/>
      <c r="BG105" s="51"/>
    </row>
    <row r="106" spans="1:59" ht="14.1" customHeight="1" x14ac:dyDescent="0.25">
      <c r="A106" s="51"/>
      <c r="C106" s="257" t="s">
        <v>198</v>
      </c>
      <c r="D106" s="240" t="s">
        <v>199</v>
      </c>
      <c r="E106" s="256" t="s">
        <v>223</v>
      </c>
      <c r="F106" s="256" t="s">
        <v>224</v>
      </c>
      <c r="G106" s="256" t="s">
        <v>225</v>
      </c>
      <c r="H106" s="443" t="s">
        <v>226</v>
      </c>
      <c r="I106" s="443"/>
      <c r="J106" s="233"/>
      <c r="K106" s="233"/>
      <c r="L106" s="51"/>
      <c r="M106" s="94"/>
      <c r="N106" s="39"/>
      <c r="O106" s="297">
        <v>10</v>
      </c>
      <c r="P106" s="402"/>
      <c r="Q106" s="383"/>
      <c r="R106" s="375"/>
      <c r="S106" s="375"/>
      <c r="T106" s="375"/>
      <c r="U106" s="161" t="s">
        <v>409</v>
      </c>
      <c r="AA106" s="51"/>
      <c r="AB106" s="51"/>
      <c r="AC106" s="51"/>
      <c r="AD106" s="51"/>
      <c r="AE106" s="51"/>
      <c r="AF106" s="42"/>
      <c r="AG106" s="42"/>
      <c r="AH106" s="42"/>
      <c r="AI106" s="42"/>
      <c r="AJ106" s="42"/>
      <c r="AK106" s="42"/>
      <c r="AL106" s="42"/>
      <c r="AM106" s="42"/>
      <c r="AN106" s="42"/>
      <c r="AO106" s="42"/>
      <c r="AP106" s="42"/>
      <c r="AQ106" s="42"/>
      <c r="AR106" s="42"/>
      <c r="AS106" s="42"/>
      <c r="AT106" s="42"/>
      <c r="AU106" s="42"/>
      <c r="AV106" s="42"/>
      <c r="AW106" s="42"/>
      <c r="AX106" s="42"/>
      <c r="AY106" s="42"/>
      <c r="AZ106" s="42"/>
      <c r="BA106" s="42"/>
      <c r="BB106" s="42"/>
      <c r="BC106" s="42"/>
      <c r="BD106" s="42"/>
      <c r="BE106" s="42"/>
      <c r="BF106" s="42"/>
      <c r="BG106" s="42"/>
    </row>
    <row r="107" spans="1:59" ht="14.1" customHeight="1" x14ac:dyDescent="0.25">
      <c r="A107" s="51"/>
      <c r="C107" s="257"/>
      <c r="D107" s="240"/>
      <c r="E107" s="240"/>
      <c r="F107" s="240" t="s">
        <v>30</v>
      </c>
      <c r="G107" s="240"/>
      <c r="H107" s="443"/>
      <c r="I107" s="443"/>
      <c r="J107" s="233"/>
      <c r="K107" s="233"/>
      <c r="L107" s="51"/>
      <c r="M107" s="94"/>
      <c r="N107" s="39"/>
      <c r="O107" s="134" t="s">
        <v>8</v>
      </c>
      <c r="P107" s="174"/>
      <c r="Q107" s="383"/>
      <c r="R107" s="375"/>
      <c r="S107" s="375"/>
      <c r="T107" s="375"/>
      <c r="U107" s="161" t="s">
        <v>409</v>
      </c>
      <c r="AA107" s="51"/>
      <c r="AB107" s="51"/>
      <c r="AC107" s="51"/>
      <c r="AD107" s="51"/>
      <c r="AE107" s="51"/>
      <c r="AF107" s="42"/>
      <c r="AG107" s="42"/>
      <c r="AH107" s="42"/>
      <c r="AI107" s="42"/>
      <c r="AJ107" s="42"/>
      <c r="AK107" s="42"/>
      <c r="AL107" s="42"/>
      <c r="AM107" s="42"/>
      <c r="AN107" s="42"/>
      <c r="AO107" s="42"/>
      <c r="AP107" s="42"/>
      <c r="AQ107" s="42"/>
      <c r="AR107" s="42"/>
      <c r="AS107" s="42"/>
      <c r="AT107" s="42"/>
      <c r="AU107" s="42"/>
      <c r="AV107" s="42"/>
      <c r="AW107" s="42"/>
      <c r="AX107" s="42"/>
      <c r="AY107" s="42"/>
      <c r="AZ107" s="42"/>
      <c r="BA107" s="42"/>
      <c r="BB107" s="42"/>
      <c r="BC107" s="42"/>
      <c r="BD107" s="42"/>
      <c r="BE107" s="42"/>
      <c r="BF107" s="42"/>
      <c r="BG107" s="42"/>
    </row>
    <row r="108" spans="1:59" ht="14.1" customHeight="1" x14ac:dyDescent="0.2">
      <c r="B108" s="233" t="s">
        <v>227</v>
      </c>
      <c r="C108" s="242">
        <v>13</v>
      </c>
      <c r="D108" s="243">
        <v>1</v>
      </c>
      <c r="E108" s="243">
        <v>2</v>
      </c>
      <c r="F108" s="243">
        <v>90</v>
      </c>
      <c r="G108" s="243">
        <v>2</v>
      </c>
      <c r="H108" s="441" t="s">
        <v>228</v>
      </c>
      <c r="I108" s="441"/>
      <c r="J108" s="233"/>
      <c r="K108" s="233"/>
      <c r="M108" s="255"/>
      <c r="O108" s="296">
        <v>6</v>
      </c>
      <c r="P108" s="398"/>
      <c r="Q108" s="413"/>
      <c r="R108" s="414"/>
      <c r="S108" s="414"/>
      <c r="T108" s="414"/>
      <c r="U108" s="159" t="s">
        <v>409</v>
      </c>
    </row>
    <row r="109" spans="1:59" ht="14.1" customHeight="1" x14ac:dyDescent="0.2">
      <c r="C109" s="242">
        <v>14</v>
      </c>
      <c r="D109" s="243">
        <v>1</v>
      </c>
      <c r="E109" s="243">
        <v>1</v>
      </c>
      <c r="F109" s="243">
        <v>85</v>
      </c>
      <c r="G109" s="243" t="s">
        <v>219</v>
      </c>
      <c r="H109" s="441" t="s">
        <v>229</v>
      </c>
      <c r="I109" s="441"/>
      <c r="J109" s="233"/>
      <c r="K109" s="233"/>
      <c r="M109" s="255"/>
      <c r="O109" s="297" t="s">
        <v>7</v>
      </c>
      <c r="P109" s="402"/>
      <c r="Q109" s="383"/>
      <c r="R109" s="375"/>
      <c r="S109" s="375"/>
      <c r="T109" s="375"/>
      <c r="U109" s="161" t="s">
        <v>409</v>
      </c>
    </row>
    <row r="110" spans="1:59" ht="14.1" customHeight="1" x14ac:dyDescent="0.2">
      <c r="C110" s="242">
        <v>15</v>
      </c>
      <c r="D110" s="243">
        <v>2</v>
      </c>
      <c r="E110" s="243">
        <v>1</v>
      </c>
      <c r="F110" s="243">
        <v>85</v>
      </c>
      <c r="G110" s="243" t="s">
        <v>219</v>
      </c>
      <c r="H110" s="441" t="s">
        <v>229</v>
      </c>
      <c r="I110" s="441"/>
      <c r="J110" s="233"/>
      <c r="K110" s="233"/>
      <c r="M110" s="255"/>
      <c r="O110" s="297">
        <v>10</v>
      </c>
      <c r="P110" s="402"/>
      <c r="Q110" s="383"/>
      <c r="R110" s="375"/>
      <c r="S110" s="375"/>
      <c r="T110" s="375"/>
      <c r="U110" s="161" t="str">
        <f t="shared" ref="U110:U111" si="7">IF(ISNUMBER(T110),T110,"")</f>
        <v/>
      </c>
    </row>
    <row r="111" spans="1:59" ht="14.1" customHeight="1" x14ac:dyDescent="0.2">
      <c r="C111" s="250">
        <v>16</v>
      </c>
      <c r="D111" s="258">
        <v>1</v>
      </c>
      <c r="E111" s="258">
        <v>2</v>
      </c>
      <c r="F111" s="258">
        <v>90</v>
      </c>
      <c r="G111" s="258">
        <v>2</v>
      </c>
      <c r="H111" s="442" t="s">
        <v>230</v>
      </c>
      <c r="I111" s="442"/>
      <c r="J111" s="259"/>
      <c r="K111" s="259"/>
      <c r="L111" s="251"/>
      <c r="M111" s="260"/>
      <c r="O111" s="134" t="s">
        <v>8</v>
      </c>
      <c r="P111" s="174"/>
      <c r="Q111" s="369"/>
      <c r="R111" s="379"/>
      <c r="S111" s="379"/>
      <c r="T111" s="379"/>
      <c r="U111" s="165" t="str">
        <f t="shared" si="7"/>
        <v/>
      </c>
    </row>
    <row r="112" spans="1:59" ht="14.1" customHeight="1" x14ac:dyDescent="0.2">
      <c r="I112" s="233"/>
      <c r="J112" s="233"/>
      <c r="K112" s="233"/>
    </row>
    <row r="113" spans="2:33" ht="14.1" customHeight="1" x14ac:dyDescent="0.2">
      <c r="B113" s="51"/>
      <c r="C113" s="233" t="s">
        <v>231</v>
      </c>
      <c r="D113" s="233"/>
      <c r="F113" s="233"/>
      <c r="G113" s="233"/>
      <c r="H113" s="233"/>
      <c r="I113" s="233"/>
      <c r="J113" s="233"/>
      <c r="K113" s="233"/>
      <c r="L113" s="51"/>
    </row>
    <row r="114" spans="2:33" ht="14.1" customHeight="1" x14ac:dyDescent="0.2">
      <c r="B114" s="235" t="s">
        <v>327</v>
      </c>
      <c r="C114" s="235" t="s">
        <v>232</v>
      </c>
      <c r="D114" s="106" t="s">
        <v>293</v>
      </c>
      <c r="E114" s="236" t="s">
        <v>233</v>
      </c>
      <c r="F114" s="237" t="s">
        <v>233</v>
      </c>
      <c r="G114" s="106" t="s">
        <v>234</v>
      </c>
      <c r="H114" s="106" t="s">
        <v>235</v>
      </c>
      <c r="I114" s="106" t="s">
        <v>236</v>
      </c>
      <c r="J114" s="237" t="s">
        <v>237</v>
      </c>
      <c r="K114" s="237" t="s">
        <v>201</v>
      </c>
      <c r="L114" s="106" t="s">
        <v>294</v>
      </c>
      <c r="M114" s="236" t="s">
        <v>238</v>
      </c>
      <c r="N114" s="236" t="s">
        <v>239</v>
      </c>
      <c r="O114" s="236" t="s">
        <v>240</v>
      </c>
      <c r="P114" s="238"/>
      <c r="Q114" s="238"/>
      <c r="R114" s="238"/>
      <c r="S114" s="238"/>
      <c r="T114" s="238"/>
      <c r="U114" s="238"/>
      <c r="V114" s="238"/>
      <c r="W114" s="254"/>
      <c r="Y114" s="234" t="s">
        <v>241</v>
      </c>
    </row>
    <row r="115" spans="2:33" ht="14.1" customHeight="1" x14ac:dyDescent="0.2">
      <c r="B115" s="239"/>
      <c r="C115" s="239"/>
      <c r="D115" s="100" t="s">
        <v>295</v>
      </c>
      <c r="E115" s="240" t="s">
        <v>242</v>
      </c>
      <c r="F115" s="240" t="s">
        <v>243</v>
      </c>
      <c r="G115" s="100" t="s">
        <v>243</v>
      </c>
      <c r="H115" s="100" t="s">
        <v>244</v>
      </c>
      <c r="J115" s="240"/>
      <c r="K115" s="240"/>
      <c r="M115" s="240" t="s">
        <v>30</v>
      </c>
      <c r="N115" s="240" t="s">
        <v>208</v>
      </c>
      <c r="O115" s="241" t="s">
        <v>296</v>
      </c>
      <c r="Q115" s="240"/>
      <c r="R115" s="240"/>
      <c r="S115" s="240"/>
      <c r="W115" s="255"/>
    </row>
    <row r="116" spans="2:33" ht="14.1" customHeight="1" x14ac:dyDescent="0.2">
      <c r="B116" s="242"/>
      <c r="C116" s="242">
        <v>1</v>
      </c>
      <c r="D116" s="230" t="b">
        <v>0</v>
      </c>
      <c r="E116" s="243">
        <v>2</v>
      </c>
      <c r="F116" s="243" t="s">
        <v>245</v>
      </c>
      <c r="G116" s="244" t="s">
        <v>246</v>
      </c>
      <c r="H116" s="243" t="s">
        <v>247</v>
      </c>
      <c r="I116" s="230">
        <v>0</v>
      </c>
      <c r="J116" s="243">
        <v>0</v>
      </c>
      <c r="K116" s="243">
        <v>100</v>
      </c>
      <c r="L116" s="244" t="s">
        <v>18</v>
      </c>
      <c r="M116" s="243" t="s">
        <v>119</v>
      </c>
      <c r="N116" s="244">
        <v>0</v>
      </c>
      <c r="O116" s="244">
        <v>1</v>
      </c>
      <c r="P116" s="244">
        <v>3</v>
      </c>
      <c r="Q116" s="244">
        <v>10</v>
      </c>
      <c r="R116" s="244" t="s">
        <v>18</v>
      </c>
      <c r="S116" s="244" t="s">
        <v>18</v>
      </c>
      <c r="T116" s="244" t="s">
        <v>18</v>
      </c>
      <c r="U116" s="244" t="s">
        <v>18</v>
      </c>
      <c r="V116" s="244" t="s">
        <v>18</v>
      </c>
      <c r="W116" s="321" t="s">
        <v>18</v>
      </c>
      <c r="Y116" s="230" t="s">
        <v>209</v>
      </c>
      <c r="Z116" s="230"/>
      <c r="AA116" s="230"/>
      <c r="AB116" s="230"/>
      <c r="AC116" s="230"/>
      <c r="AD116" s="230"/>
      <c r="AE116" s="230"/>
      <c r="AF116" s="231"/>
      <c r="AG116" s="232"/>
    </row>
    <row r="117" spans="2:33" ht="14.1" customHeight="1" x14ac:dyDescent="0.2">
      <c r="B117" s="242"/>
      <c r="C117" s="242">
        <v>2</v>
      </c>
      <c r="D117" s="230" t="b">
        <v>0</v>
      </c>
      <c r="E117" s="243">
        <v>2</v>
      </c>
      <c r="F117" s="243">
        <v>5</v>
      </c>
      <c r="G117" s="230">
        <v>3</v>
      </c>
      <c r="H117" s="244" t="s">
        <v>248</v>
      </c>
      <c r="I117" s="244" t="s">
        <v>18</v>
      </c>
      <c r="J117" s="243" t="s">
        <v>249</v>
      </c>
      <c r="K117" s="243" t="s">
        <v>250</v>
      </c>
      <c r="L117" s="244" t="s">
        <v>18</v>
      </c>
      <c r="M117" s="243" t="s">
        <v>251</v>
      </c>
      <c r="N117" s="244" t="s">
        <v>252</v>
      </c>
      <c r="O117" s="244" t="s">
        <v>297</v>
      </c>
      <c r="P117" s="244" t="s">
        <v>298</v>
      </c>
      <c r="Q117" s="244" t="s">
        <v>299</v>
      </c>
      <c r="R117" s="244" t="s">
        <v>300</v>
      </c>
      <c r="S117" s="244" t="s">
        <v>301</v>
      </c>
      <c r="T117" s="244" t="s">
        <v>302</v>
      </c>
      <c r="U117" s="244" t="s">
        <v>18</v>
      </c>
      <c r="V117" s="244" t="s">
        <v>18</v>
      </c>
      <c r="W117" s="321" t="s">
        <v>18</v>
      </c>
      <c r="Y117" s="230" t="s">
        <v>209</v>
      </c>
      <c r="Z117" s="230"/>
      <c r="AA117" s="230"/>
      <c r="AB117" s="230"/>
      <c r="AC117" s="230"/>
      <c r="AD117" s="230"/>
      <c r="AE117" s="230"/>
      <c r="AF117" s="231"/>
      <c r="AG117" s="232"/>
    </row>
    <row r="118" spans="2:33" ht="14.1" customHeight="1" x14ac:dyDescent="0.2">
      <c r="B118" s="242"/>
      <c r="C118" s="242">
        <v>3</v>
      </c>
      <c r="D118" s="230" t="b">
        <v>0</v>
      </c>
      <c r="E118" s="243">
        <v>2</v>
      </c>
      <c r="F118" s="243">
        <v>3</v>
      </c>
      <c r="G118" s="230">
        <v>3</v>
      </c>
      <c r="H118" s="244" t="s">
        <v>248</v>
      </c>
      <c r="I118" s="244" t="s">
        <v>18</v>
      </c>
      <c r="J118" s="243">
        <v>90</v>
      </c>
      <c r="K118" s="243">
        <v>86</v>
      </c>
      <c r="L118" s="244" t="s">
        <v>18</v>
      </c>
      <c r="M118" s="243" t="s">
        <v>253</v>
      </c>
      <c r="N118" s="244">
        <v>0</v>
      </c>
      <c r="O118" s="244">
        <v>3</v>
      </c>
      <c r="P118" s="244">
        <v>5</v>
      </c>
      <c r="Q118" s="244" t="s">
        <v>18</v>
      </c>
      <c r="R118" s="244" t="s">
        <v>18</v>
      </c>
      <c r="S118" s="244" t="s">
        <v>18</v>
      </c>
      <c r="T118" s="244" t="s">
        <v>18</v>
      </c>
      <c r="U118" s="244" t="s">
        <v>18</v>
      </c>
      <c r="V118" s="244" t="s">
        <v>18</v>
      </c>
      <c r="W118" s="321" t="s">
        <v>18</v>
      </c>
      <c r="Y118" s="230" t="s">
        <v>209</v>
      </c>
      <c r="Z118" s="230"/>
      <c r="AA118" s="230"/>
      <c r="AB118" s="230"/>
      <c r="AC118" s="230"/>
      <c r="AD118" s="230"/>
      <c r="AE118" s="230"/>
      <c r="AF118" s="231"/>
      <c r="AG118" s="232"/>
    </row>
    <row r="119" spans="2:33" ht="14.1" customHeight="1" x14ac:dyDescent="0.2">
      <c r="B119" s="242"/>
      <c r="C119" s="242">
        <v>4</v>
      </c>
      <c r="D119" s="230" t="b">
        <v>0</v>
      </c>
      <c r="E119" s="243">
        <v>2</v>
      </c>
      <c r="F119" s="243">
        <v>3</v>
      </c>
      <c r="G119" s="230">
        <v>3</v>
      </c>
      <c r="H119" s="244" t="s">
        <v>248</v>
      </c>
      <c r="I119" s="244" t="s">
        <v>18</v>
      </c>
      <c r="J119" s="243">
        <v>90</v>
      </c>
      <c r="K119" s="243">
        <v>86</v>
      </c>
      <c r="L119" s="244" t="s">
        <v>18</v>
      </c>
      <c r="M119" s="243" t="s">
        <v>253</v>
      </c>
      <c r="N119" s="243">
        <v>60</v>
      </c>
      <c r="O119" s="244">
        <v>3</v>
      </c>
      <c r="P119" s="244">
        <v>5</v>
      </c>
      <c r="Q119" s="244" t="s">
        <v>18</v>
      </c>
      <c r="R119" s="244" t="s">
        <v>18</v>
      </c>
      <c r="S119" s="244" t="s">
        <v>18</v>
      </c>
      <c r="T119" s="244" t="s">
        <v>18</v>
      </c>
      <c r="U119" s="244" t="s">
        <v>18</v>
      </c>
      <c r="V119" s="244" t="s">
        <v>18</v>
      </c>
      <c r="W119" s="321" t="s">
        <v>18</v>
      </c>
      <c r="Y119" s="230" t="s">
        <v>209</v>
      </c>
      <c r="Z119" s="230"/>
      <c r="AA119" s="230"/>
      <c r="AB119" s="230"/>
      <c r="AC119" s="230"/>
      <c r="AD119" s="230"/>
      <c r="AE119" s="230"/>
      <c r="AF119" s="231"/>
      <c r="AG119" s="232"/>
    </row>
    <row r="120" spans="2:33" ht="14.1" customHeight="1" x14ac:dyDescent="0.2">
      <c r="B120" s="242"/>
      <c r="C120" s="242">
        <v>5</v>
      </c>
      <c r="D120" s="230" t="b">
        <v>0</v>
      </c>
      <c r="E120" s="243" t="s">
        <v>254</v>
      </c>
      <c r="F120" s="244" t="s">
        <v>271</v>
      </c>
      <c r="G120" s="230">
        <v>3</v>
      </c>
      <c r="H120" s="244" t="s">
        <v>248</v>
      </c>
      <c r="I120" s="230">
        <v>0</v>
      </c>
      <c r="J120" s="243">
        <v>0</v>
      </c>
      <c r="K120" s="243">
        <v>93</v>
      </c>
      <c r="L120" s="244" t="s">
        <v>18</v>
      </c>
      <c r="M120" s="244" t="s">
        <v>18</v>
      </c>
      <c r="N120" s="244" t="s">
        <v>18</v>
      </c>
      <c r="O120" s="244">
        <v>11</v>
      </c>
      <c r="P120" s="244">
        <v>12</v>
      </c>
      <c r="Q120" s="244">
        <v>13</v>
      </c>
      <c r="R120" s="244">
        <v>14</v>
      </c>
      <c r="S120" s="244">
        <v>15</v>
      </c>
      <c r="T120" s="244">
        <v>18</v>
      </c>
      <c r="U120" s="244">
        <v>19</v>
      </c>
      <c r="V120" s="244">
        <v>20</v>
      </c>
      <c r="W120" s="321">
        <v>21</v>
      </c>
      <c r="Y120" s="230" t="s">
        <v>255</v>
      </c>
      <c r="Z120" s="230"/>
      <c r="AA120" s="230"/>
      <c r="AB120" s="230"/>
      <c r="AC120" s="230"/>
      <c r="AD120" s="230"/>
      <c r="AE120" s="230"/>
      <c r="AF120" s="231"/>
      <c r="AG120" s="232"/>
    </row>
    <row r="121" spans="2:33" ht="14.1" customHeight="1" x14ac:dyDescent="0.2">
      <c r="B121" s="242"/>
      <c r="C121" s="242">
        <v>6</v>
      </c>
      <c r="D121" s="230" t="b">
        <v>1</v>
      </c>
      <c r="E121" s="243" t="s">
        <v>254</v>
      </c>
      <c r="F121" s="244" t="s">
        <v>272</v>
      </c>
      <c r="G121" s="230">
        <v>3</v>
      </c>
      <c r="H121" s="244" t="s">
        <v>256</v>
      </c>
      <c r="I121" s="244" t="s">
        <v>18</v>
      </c>
      <c r="J121" s="243" t="s">
        <v>257</v>
      </c>
      <c r="K121" s="243" t="s">
        <v>273</v>
      </c>
      <c r="L121" s="244" t="s">
        <v>303</v>
      </c>
      <c r="M121" s="244" t="s">
        <v>18</v>
      </c>
      <c r="N121" s="244" t="s">
        <v>18</v>
      </c>
      <c r="O121" s="244">
        <v>11</v>
      </c>
      <c r="P121" s="244">
        <v>12</v>
      </c>
      <c r="Q121" s="244">
        <v>13</v>
      </c>
      <c r="R121" s="244">
        <v>14</v>
      </c>
      <c r="S121" s="244">
        <v>15</v>
      </c>
      <c r="T121" s="244">
        <v>16</v>
      </c>
      <c r="U121" s="244">
        <v>17</v>
      </c>
      <c r="V121" s="244" t="s">
        <v>18</v>
      </c>
      <c r="W121" s="321" t="s">
        <v>18</v>
      </c>
      <c r="Y121" s="230" t="s">
        <v>255</v>
      </c>
      <c r="Z121" s="230" t="s">
        <v>258</v>
      </c>
      <c r="AA121" s="230" t="s">
        <v>29</v>
      </c>
      <c r="AB121" s="230"/>
      <c r="AC121" s="230"/>
      <c r="AD121" s="230"/>
      <c r="AE121" s="230"/>
      <c r="AF121" s="231"/>
      <c r="AG121" s="232"/>
    </row>
    <row r="122" spans="2:33" ht="14.1" customHeight="1" x14ac:dyDescent="0.2">
      <c r="B122" s="242"/>
      <c r="C122" s="242">
        <v>7</v>
      </c>
      <c r="D122" s="230" t="b">
        <v>1</v>
      </c>
      <c r="E122" s="243" t="s">
        <v>254</v>
      </c>
      <c r="F122" s="244" t="s">
        <v>272</v>
      </c>
      <c r="G122" s="230">
        <v>3</v>
      </c>
      <c r="H122" s="244" t="s">
        <v>248</v>
      </c>
      <c r="I122" s="244" t="s">
        <v>18</v>
      </c>
      <c r="J122" s="243" t="s">
        <v>257</v>
      </c>
      <c r="K122" s="243" t="s">
        <v>273</v>
      </c>
      <c r="L122" s="244" t="s">
        <v>303</v>
      </c>
      <c r="M122" s="244" t="s">
        <v>18</v>
      </c>
      <c r="N122" s="244" t="s">
        <v>18</v>
      </c>
      <c r="O122" s="244">
        <v>11</v>
      </c>
      <c r="P122" s="244">
        <v>12</v>
      </c>
      <c r="Q122" s="244">
        <v>13</v>
      </c>
      <c r="R122" s="244">
        <v>14</v>
      </c>
      <c r="S122" s="244">
        <v>15</v>
      </c>
      <c r="T122" s="244">
        <v>16</v>
      </c>
      <c r="U122" s="244">
        <v>17</v>
      </c>
      <c r="V122" s="244" t="s">
        <v>18</v>
      </c>
      <c r="W122" s="321" t="s">
        <v>18</v>
      </c>
      <c r="Y122" s="230" t="s">
        <v>255</v>
      </c>
      <c r="Z122" s="230" t="s">
        <v>258</v>
      </c>
      <c r="AA122" s="230" t="s">
        <v>29</v>
      </c>
      <c r="AB122" s="230"/>
      <c r="AC122" s="230"/>
      <c r="AD122" s="230"/>
      <c r="AE122" s="230"/>
      <c r="AF122" s="231"/>
      <c r="AG122" s="232"/>
    </row>
    <row r="123" spans="2:33" ht="14.1" customHeight="1" x14ac:dyDescent="0.2">
      <c r="B123" s="242"/>
      <c r="C123" s="242">
        <v>8</v>
      </c>
      <c r="D123" s="230" t="b">
        <v>1</v>
      </c>
      <c r="E123" s="243" t="s">
        <v>254</v>
      </c>
      <c r="F123" s="244" t="s">
        <v>274</v>
      </c>
      <c r="G123" s="230">
        <v>3</v>
      </c>
      <c r="H123" s="244" t="s">
        <v>248</v>
      </c>
      <c r="I123" s="244" t="s">
        <v>18</v>
      </c>
      <c r="J123" s="243" t="s">
        <v>257</v>
      </c>
      <c r="K123" s="243" t="s">
        <v>273</v>
      </c>
      <c r="L123" s="244" t="s">
        <v>303</v>
      </c>
      <c r="M123" s="244" t="s">
        <v>18</v>
      </c>
      <c r="N123" s="244" t="s">
        <v>18</v>
      </c>
      <c r="O123" s="244">
        <v>11</v>
      </c>
      <c r="P123" s="244">
        <v>12</v>
      </c>
      <c r="Q123" s="244">
        <v>13</v>
      </c>
      <c r="R123" s="244">
        <v>14</v>
      </c>
      <c r="S123" s="244">
        <v>15</v>
      </c>
      <c r="T123" s="244">
        <v>17</v>
      </c>
      <c r="U123" s="244">
        <v>18</v>
      </c>
      <c r="V123" s="244" t="s">
        <v>18</v>
      </c>
      <c r="W123" s="321" t="s">
        <v>18</v>
      </c>
      <c r="Y123" s="230" t="s">
        <v>255</v>
      </c>
      <c r="Z123" s="230" t="s">
        <v>258</v>
      </c>
      <c r="AA123" s="230" t="s">
        <v>29</v>
      </c>
      <c r="AB123" s="230"/>
      <c r="AC123" s="230"/>
      <c r="AD123" s="230"/>
      <c r="AE123" s="230"/>
      <c r="AF123" s="231"/>
      <c r="AG123" s="232"/>
    </row>
    <row r="124" spans="2:33" ht="14.1" customHeight="1" x14ac:dyDescent="0.2">
      <c r="B124" s="242"/>
      <c r="C124" s="242">
        <v>9</v>
      </c>
      <c r="D124" s="230" t="b">
        <v>0</v>
      </c>
      <c r="E124" s="243" t="s">
        <v>259</v>
      </c>
      <c r="F124" s="244" t="s">
        <v>18</v>
      </c>
      <c r="G124" s="230" t="s">
        <v>177</v>
      </c>
      <c r="H124" s="244" t="s">
        <v>256</v>
      </c>
      <c r="I124" s="244" t="s">
        <v>18</v>
      </c>
      <c r="J124" s="244" t="s">
        <v>18</v>
      </c>
      <c r="K124" s="244">
        <v>90</v>
      </c>
      <c r="L124" s="244" t="s">
        <v>18</v>
      </c>
      <c r="M124" s="243" t="s">
        <v>260</v>
      </c>
      <c r="N124" s="244" t="s">
        <v>18</v>
      </c>
      <c r="O124" s="243" t="s">
        <v>304</v>
      </c>
      <c r="P124" s="243" t="s">
        <v>305</v>
      </c>
      <c r="Q124" s="243" t="s">
        <v>306</v>
      </c>
      <c r="R124" s="244" t="s">
        <v>18</v>
      </c>
      <c r="S124" s="244" t="s">
        <v>18</v>
      </c>
      <c r="T124" s="244" t="s">
        <v>18</v>
      </c>
      <c r="U124" s="244" t="s">
        <v>18</v>
      </c>
      <c r="V124" s="244" t="s">
        <v>18</v>
      </c>
      <c r="W124" s="321" t="s">
        <v>18</v>
      </c>
      <c r="Y124" s="230" t="s">
        <v>209</v>
      </c>
      <c r="Z124" s="230"/>
      <c r="AA124" s="230"/>
      <c r="AB124" s="230"/>
      <c r="AC124" s="230"/>
      <c r="AD124" s="230"/>
      <c r="AE124" s="230"/>
      <c r="AF124" s="231"/>
      <c r="AG124" s="232"/>
    </row>
    <row r="125" spans="2:33" ht="14.1" customHeight="1" x14ac:dyDescent="0.2">
      <c r="B125" s="242" t="s">
        <v>328</v>
      </c>
      <c r="C125" s="242">
        <v>10</v>
      </c>
      <c r="D125" s="230" t="b">
        <v>1</v>
      </c>
      <c r="E125" s="243" t="s">
        <v>261</v>
      </c>
      <c r="F125" s="243" t="s">
        <v>307</v>
      </c>
      <c r="G125" s="230" t="s">
        <v>177</v>
      </c>
      <c r="H125" s="244" t="s">
        <v>256</v>
      </c>
      <c r="I125" s="244" t="s">
        <v>18</v>
      </c>
      <c r="J125" s="244" t="s">
        <v>18</v>
      </c>
      <c r="K125" s="244" t="s">
        <v>18</v>
      </c>
      <c r="L125" s="244" t="s">
        <v>303</v>
      </c>
      <c r="M125" s="244" t="s">
        <v>18</v>
      </c>
      <c r="N125" s="244" t="s">
        <v>18</v>
      </c>
      <c r="O125" s="243" t="s">
        <v>177</v>
      </c>
      <c r="P125" s="244" t="s">
        <v>18</v>
      </c>
      <c r="Q125" s="244" t="s">
        <v>18</v>
      </c>
      <c r="R125" s="244" t="s">
        <v>18</v>
      </c>
      <c r="S125" s="244" t="s">
        <v>18</v>
      </c>
      <c r="T125" s="244" t="s">
        <v>18</v>
      </c>
      <c r="U125" s="244" t="s">
        <v>18</v>
      </c>
      <c r="V125" s="244" t="s">
        <v>18</v>
      </c>
      <c r="W125" s="321" t="s">
        <v>18</v>
      </c>
      <c r="Y125" s="230" t="s">
        <v>209</v>
      </c>
      <c r="Z125" s="230" t="s">
        <v>255</v>
      </c>
      <c r="AA125" s="230" t="s">
        <v>258</v>
      </c>
      <c r="AB125" s="230" t="s">
        <v>262</v>
      </c>
      <c r="AC125" s="230" t="s">
        <v>29</v>
      </c>
      <c r="AD125" s="230" t="s">
        <v>308</v>
      </c>
      <c r="AE125" s="230" t="s">
        <v>309</v>
      </c>
      <c r="AF125" s="231"/>
      <c r="AG125" s="232"/>
    </row>
    <row r="126" spans="2:33" ht="14.1" customHeight="1" x14ac:dyDescent="0.2">
      <c r="B126" s="242" t="s">
        <v>329</v>
      </c>
      <c r="C126" s="242">
        <v>11</v>
      </c>
      <c r="D126" s="230" t="b">
        <v>1</v>
      </c>
      <c r="E126" s="244" t="s">
        <v>263</v>
      </c>
      <c r="F126" s="243" t="s">
        <v>310</v>
      </c>
      <c r="G126" s="230" t="s">
        <v>264</v>
      </c>
      <c r="H126" s="244" t="s">
        <v>248</v>
      </c>
      <c r="I126" s="244" t="s">
        <v>18</v>
      </c>
      <c r="J126" s="244" t="s">
        <v>18</v>
      </c>
      <c r="K126" s="244" t="s">
        <v>18</v>
      </c>
      <c r="L126" s="244" t="s">
        <v>303</v>
      </c>
      <c r="M126" s="244" t="s">
        <v>18</v>
      </c>
      <c r="N126" s="244" t="s">
        <v>18</v>
      </c>
      <c r="O126" s="243" t="s">
        <v>311</v>
      </c>
      <c r="P126" s="243" t="s">
        <v>312</v>
      </c>
      <c r="Q126" s="244" t="s">
        <v>178</v>
      </c>
      <c r="R126" s="244" t="s">
        <v>18</v>
      </c>
      <c r="S126" s="244" t="s">
        <v>18</v>
      </c>
      <c r="T126" s="244" t="s">
        <v>18</v>
      </c>
      <c r="U126" s="244" t="s">
        <v>18</v>
      </c>
      <c r="V126" s="244" t="s">
        <v>18</v>
      </c>
      <c r="W126" s="321" t="s">
        <v>18</v>
      </c>
      <c r="Y126" s="230" t="s">
        <v>209</v>
      </c>
      <c r="Z126" s="230" t="s">
        <v>255</v>
      </c>
      <c r="AA126" s="230" t="s">
        <v>258</v>
      </c>
      <c r="AB126" s="230" t="s">
        <v>262</v>
      </c>
      <c r="AC126" s="230" t="s">
        <v>29</v>
      </c>
      <c r="AD126" s="230" t="s">
        <v>308</v>
      </c>
      <c r="AE126" s="230" t="s">
        <v>309</v>
      </c>
      <c r="AF126" s="231"/>
      <c r="AG126" s="232"/>
    </row>
    <row r="127" spans="2:33" ht="14.1" customHeight="1" x14ac:dyDescent="0.2">
      <c r="B127" s="242" t="s">
        <v>330</v>
      </c>
      <c r="C127" s="242">
        <v>12</v>
      </c>
      <c r="D127" s="230" t="b">
        <v>1</v>
      </c>
      <c r="E127" s="243" t="s">
        <v>265</v>
      </c>
      <c r="F127" s="243" t="s">
        <v>313</v>
      </c>
      <c r="G127" s="230" t="s">
        <v>60</v>
      </c>
      <c r="H127" s="244" t="s">
        <v>248</v>
      </c>
      <c r="I127" s="244" t="s">
        <v>18</v>
      </c>
      <c r="J127" s="244" t="s">
        <v>18</v>
      </c>
      <c r="K127" s="244" t="s">
        <v>18</v>
      </c>
      <c r="L127" s="244" t="s">
        <v>303</v>
      </c>
      <c r="M127" s="244" t="s">
        <v>18</v>
      </c>
      <c r="N127" s="244" t="s">
        <v>18</v>
      </c>
      <c r="O127" s="243" t="s">
        <v>60</v>
      </c>
      <c r="P127" s="244" t="s">
        <v>18</v>
      </c>
      <c r="Q127" s="244" t="s">
        <v>18</v>
      </c>
      <c r="R127" s="244" t="s">
        <v>18</v>
      </c>
      <c r="S127" s="244" t="s">
        <v>18</v>
      </c>
      <c r="T127" s="244" t="s">
        <v>18</v>
      </c>
      <c r="U127" s="244" t="s">
        <v>18</v>
      </c>
      <c r="V127" s="244" t="s">
        <v>18</v>
      </c>
      <c r="W127" s="321" t="s">
        <v>18</v>
      </c>
      <c r="Y127" s="230" t="s">
        <v>209</v>
      </c>
      <c r="Z127" s="230" t="s">
        <v>255</v>
      </c>
      <c r="AA127" s="230" t="s">
        <v>258</v>
      </c>
      <c r="AB127" s="230" t="s">
        <v>262</v>
      </c>
      <c r="AC127" s="230" t="s">
        <v>29</v>
      </c>
      <c r="AD127" s="230" t="s">
        <v>308</v>
      </c>
      <c r="AE127" s="230" t="s">
        <v>309</v>
      </c>
      <c r="AF127" s="231"/>
      <c r="AG127" s="232"/>
    </row>
    <row r="128" spans="2:33" ht="14.1" customHeight="1" x14ac:dyDescent="0.2">
      <c r="B128" s="242"/>
      <c r="C128" s="242">
        <v>13</v>
      </c>
      <c r="D128" s="230" t="b">
        <v>1</v>
      </c>
      <c r="E128" s="243">
        <v>3</v>
      </c>
      <c r="F128" s="244">
        <v>1</v>
      </c>
      <c r="G128" s="243">
        <v>1</v>
      </c>
      <c r="H128" s="243" t="s">
        <v>314</v>
      </c>
      <c r="I128" s="244" t="s">
        <v>18</v>
      </c>
      <c r="J128" s="244" t="s">
        <v>18</v>
      </c>
      <c r="K128" s="244" t="s">
        <v>18</v>
      </c>
      <c r="L128" s="244" t="s">
        <v>18</v>
      </c>
      <c r="M128" s="244" t="s">
        <v>171</v>
      </c>
      <c r="N128" s="244" t="s">
        <v>18</v>
      </c>
      <c r="O128" s="243" t="s">
        <v>315</v>
      </c>
      <c r="P128" s="244" t="s">
        <v>316</v>
      </c>
      <c r="Q128" s="244" t="s">
        <v>18</v>
      </c>
      <c r="R128" s="244" t="s">
        <v>18</v>
      </c>
      <c r="S128" s="244" t="s">
        <v>18</v>
      </c>
      <c r="T128" s="244" t="s">
        <v>18</v>
      </c>
      <c r="U128" s="244" t="s">
        <v>18</v>
      </c>
      <c r="V128" s="244" t="s">
        <v>18</v>
      </c>
      <c r="W128" s="321" t="s">
        <v>18</v>
      </c>
      <c r="Y128" s="230" t="s">
        <v>209</v>
      </c>
      <c r="Z128" s="230" t="s">
        <v>308</v>
      </c>
      <c r="AA128" s="230" t="s">
        <v>309</v>
      </c>
      <c r="AB128" s="230"/>
      <c r="AC128" s="230"/>
      <c r="AD128" s="230"/>
      <c r="AE128" s="230"/>
      <c r="AF128" s="231"/>
      <c r="AG128" s="232" t="s">
        <v>322</v>
      </c>
    </row>
    <row r="129" spans="2:33" ht="14.1" customHeight="1" x14ac:dyDescent="0.2">
      <c r="B129" s="242"/>
      <c r="C129" s="242">
        <v>14</v>
      </c>
      <c r="D129" s="230" t="b">
        <v>1</v>
      </c>
      <c r="E129" s="243">
        <v>3</v>
      </c>
      <c r="F129" s="244">
        <v>1</v>
      </c>
      <c r="G129" s="243">
        <v>1</v>
      </c>
      <c r="H129" s="243" t="s">
        <v>314</v>
      </c>
      <c r="I129" s="244" t="s">
        <v>18</v>
      </c>
      <c r="J129" s="244" t="s">
        <v>18</v>
      </c>
      <c r="K129" s="244" t="s">
        <v>18</v>
      </c>
      <c r="L129" s="244" t="s">
        <v>18</v>
      </c>
      <c r="M129" s="244" t="s">
        <v>317</v>
      </c>
      <c r="N129" s="244" t="s">
        <v>18</v>
      </c>
      <c r="O129" s="243" t="s">
        <v>318</v>
      </c>
      <c r="P129" s="244" t="s">
        <v>319</v>
      </c>
      <c r="Q129" s="244" t="s">
        <v>18</v>
      </c>
      <c r="R129" s="244" t="s">
        <v>18</v>
      </c>
      <c r="S129" s="244" t="s">
        <v>18</v>
      </c>
      <c r="T129" s="244" t="s">
        <v>18</v>
      </c>
      <c r="U129" s="244" t="s">
        <v>18</v>
      </c>
      <c r="V129" s="244" t="s">
        <v>18</v>
      </c>
      <c r="W129" s="321" t="s">
        <v>18</v>
      </c>
      <c r="Y129" s="230" t="s">
        <v>209</v>
      </c>
      <c r="Z129" s="230" t="s">
        <v>308</v>
      </c>
      <c r="AA129" s="230" t="s">
        <v>309</v>
      </c>
      <c r="AB129" s="230"/>
      <c r="AC129" s="230"/>
      <c r="AD129" s="230"/>
      <c r="AE129" s="230"/>
      <c r="AF129" s="231"/>
      <c r="AG129" s="232" t="s">
        <v>322</v>
      </c>
    </row>
    <row r="130" spans="2:33" ht="14.1" customHeight="1" x14ac:dyDescent="0.2">
      <c r="B130" s="242"/>
      <c r="C130" s="242">
        <v>15</v>
      </c>
      <c r="D130" s="230" t="b">
        <v>1</v>
      </c>
      <c r="E130" s="243">
        <v>20</v>
      </c>
      <c r="F130" s="243" t="s">
        <v>320</v>
      </c>
      <c r="G130" s="243">
        <v>1</v>
      </c>
      <c r="H130" s="243" t="s">
        <v>314</v>
      </c>
      <c r="I130" s="244" t="s">
        <v>18</v>
      </c>
      <c r="J130" s="244" t="s">
        <v>18</v>
      </c>
      <c r="K130" s="244" t="s">
        <v>18</v>
      </c>
      <c r="L130" s="244" t="s">
        <v>303</v>
      </c>
      <c r="M130" s="244" t="s">
        <v>18</v>
      </c>
      <c r="N130" s="244" t="s">
        <v>18</v>
      </c>
      <c r="O130" s="243">
        <v>1</v>
      </c>
      <c r="P130" s="244">
        <v>3</v>
      </c>
      <c r="Q130" s="244" t="s">
        <v>18</v>
      </c>
      <c r="R130" s="244" t="s">
        <v>18</v>
      </c>
      <c r="S130" s="244" t="s">
        <v>18</v>
      </c>
      <c r="T130" s="244" t="s">
        <v>18</v>
      </c>
      <c r="U130" s="244" t="s">
        <v>18</v>
      </c>
      <c r="V130" s="244" t="s">
        <v>18</v>
      </c>
      <c r="W130" s="321" t="s">
        <v>18</v>
      </c>
      <c r="Y130" s="230" t="s">
        <v>209</v>
      </c>
      <c r="Z130" s="230" t="s">
        <v>255</v>
      </c>
      <c r="AA130" s="230" t="s">
        <v>258</v>
      </c>
      <c r="AB130" s="230" t="s">
        <v>262</v>
      </c>
      <c r="AC130" s="230" t="s">
        <v>29</v>
      </c>
      <c r="AD130" s="230" t="s">
        <v>308</v>
      </c>
      <c r="AE130" s="230" t="s">
        <v>309</v>
      </c>
      <c r="AF130" s="231" t="s">
        <v>321</v>
      </c>
      <c r="AG130" s="232" t="s">
        <v>322</v>
      </c>
    </row>
    <row r="131" spans="2:33" ht="14.1" customHeight="1" x14ac:dyDescent="0.2">
      <c r="B131" s="242"/>
      <c r="C131" s="242">
        <v>16</v>
      </c>
      <c r="D131" s="230" t="b">
        <v>1</v>
      </c>
      <c r="E131" s="243">
        <v>20</v>
      </c>
      <c r="F131" s="244" t="s">
        <v>18</v>
      </c>
      <c r="G131" s="244" t="s">
        <v>18</v>
      </c>
      <c r="H131" s="243" t="s">
        <v>314</v>
      </c>
      <c r="I131" s="244" t="s">
        <v>18</v>
      </c>
      <c r="J131" s="244" t="s">
        <v>18</v>
      </c>
      <c r="K131" s="244" t="s">
        <v>18</v>
      </c>
      <c r="L131" s="244" t="s">
        <v>303</v>
      </c>
      <c r="M131" s="244" t="s">
        <v>18</v>
      </c>
      <c r="N131" s="244" t="s">
        <v>18</v>
      </c>
      <c r="O131" s="243">
        <v>1</v>
      </c>
      <c r="P131" s="244">
        <v>4</v>
      </c>
      <c r="Q131" s="244" t="s">
        <v>18</v>
      </c>
      <c r="R131" s="244" t="s">
        <v>18</v>
      </c>
      <c r="S131" s="244" t="s">
        <v>18</v>
      </c>
      <c r="T131" s="244" t="s">
        <v>18</v>
      </c>
      <c r="U131" s="244" t="s">
        <v>18</v>
      </c>
      <c r="V131" s="244" t="s">
        <v>18</v>
      </c>
      <c r="W131" s="321" t="s">
        <v>18</v>
      </c>
      <c r="Y131" s="230" t="s">
        <v>209</v>
      </c>
      <c r="Z131" s="230" t="s">
        <v>255</v>
      </c>
      <c r="AA131" s="230" t="s">
        <v>258</v>
      </c>
      <c r="AB131" s="230" t="s">
        <v>262</v>
      </c>
      <c r="AC131" s="230" t="s">
        <v>29</v>
      </c>
      <c r="AD131" s="230" t="s">
        <v>308</v>
      </c>
      <c r="AE131" s="230" t="s">
        <v>309</v>
      </c>
      <c r="AF131" s="231" t="s">
        <v>321</v>
      </c>
      <c r="AG131" s="232" t="s">
        <v>322</v>
      </c>
    </row>
    <row r="132" spans="2:33" ht="14.1" customHeight="1" x14ac:dyDescent="0.2">
      <c r="B132" s="242"/>
      <c r="C132" s="242">
        <v>17</v>
      </c>
      <c r="D132" s="230" t="b">
        <v>1</v>
      </c>
      <c r="E132" s="243">
        <v>20</v>
      </c>
      <c r="F132" s="244" t="s">
        <v>18</v>
      </c>
      <c r="G132" s="244" t="s">
        <v>18</v>
      </c>
      <c r="H132" s="243" t="s">
        <v>314</v>
      </c>
      <c r="I132" s="244" t="s">
        <v>18</v>
      </c>
      <c r="J132" s="244" t="s">
        <v>18</v>
      </c>
      <c r="K132" s="244" t="s">
        <v>18</v>
      </c>
      <c r="L132" s="244" t="s">
        <v>303</v>
      </c>
      <c r="M132" s="244" t="s">
        <v>18</v>
      </c>
      <c r="N132" s="244" t="s">
        <v>18</v>
      </c>
      <c r="O132" s="243">
        <v>1</v>
      </c>
      <c r="P132" s="244">
        <v>3</v>
      </c>
      <c r="Q132" s="244">
        <v>4</v>
      </c>
      <c r="R132" s="244" t="s">
        <v>18</v>
      </c>
      <c r="S132" s="244" t="s">
        <v>18</v>
      </c>
      <c r="T132" s="244" t="s">
        <v>18</v>
      </c>
      <c r="U132" s="244" t="s">
        <v>18</v>
      </c>
      <c r="V132" s="244" t="s">
        <v>18</v>
      </c>
      <c r="W132" s="321" t="s">
        <v>18</v>
      </c>
      <c r="Y132" s="230" t="s">
        <v>209</v>
      </c>
      <c r="Z132" s="230" t="s">
        <v>255</v>
      </c>
      <c r="AA132" s="230" t="s">
        <v>258</v>
      </c>
      <c r="AB132" s="230" t="s">
        <v>262</v>
      </c>
      <c r="AC132" s="230" t="s">
        <v>29</v>
      </c>
      <c r="AD132" s="230" t="s">
        <v>308</v>
      </c>
      <c r="AE132" s="230" t="s">
        <v>309</v>
      </c>
      <c r="AF132" s="231" t="s">
        <v>321</v>
      </c>
      <c r="AG132" s="232" t="s">
        <v>322</v>
      </c>
    </row>
    <row r="133" spans="2:33" ht="14.1" customHeight="1" x14ac:dyDescent="0.2">
      <c r="C133" s="245"/>
      <c r="E133" s="100" t="s">
        <v>242</v>
      </c>
      <c r="F133" s="100" t="s">
        <v>266</v>
      </c>
      <c r="G133" s="100" t="s">
        <v>267</v>
      </c>
      <c r="H133" s="246"/>
      <c r="O133" s="99" t="s">
        <v>268</v>
      </c>
      <c r="W133" s="255"/>
    </row>
    <row r="134" spans="2:33" ht="14.1" customHeight="1" x14ac:dyDescent="0.2">
      <c r="C134" s="242">
        <v>1</v>
      </c>
      <c r="E134" s="230">
        <v>2</v>
      </c>
      <c r="F134" s="230">
        <v>1</v>
      </c>
      <c r="G134" s="230">
        <v>2</v>
      </c>
      <c r="O134" s="244">
        <v>3.1</v>
      </c>
      <c r="P134" s="244">
        <v>7.1</v>
      </c>
      <c r="Q134" s="244">
        <v>15.5</v>
      </c>
      <c r="R134" s="244" t="s">
        <v>18</v>
      </c>
      <c r="S134" s="244" t="s">
        <v>18</v>
      </c>
      <c r="T134" s="244" t="s">
        <v>18</v>
      </c>
      <c r="U134" s="244" t="s">
        <v>18</v>
      </c>
      <c r="V134" s="244" t="s">
        <v>18</v>
      </c>
      <c r="W134" s="321" t="s">
        <v>18</v>
      </c>
    </row>
    <row r="135" spans="2:33" ht="14.1" customHeight="1" x14ac:dyDescent="0.2">
      <c r="C135" s="242">
        <v>2</v>
      </c>
      <c r="E135" s="230">
        <v>2</v>
      </c>
      <c r="F135" s="230">
        <v>1</v>
      </c>
      <c r="G135" s="230">
        <v>2</v>
      </c>
      <c r="O135" s="244">
        <v>8.9</v>
      </c>
      <c r="P135" s="244">
        <v>14.1</v>
      </c>
      <c r="Q135" s="244">
        <v>10.1</v>
      </c>
      <c r="R135" s="244">
        <v>3</v>
      </c>
      <c r="S135" s="244">
        <v>8.9</v>
      </c>
      <c r="T135" s="244">
        <v>3.7</v>
      </c>
      <c r="U135" s="244" t="s">
        <v>18</v>
      </c>
      <c r="V135" s="244" t="s">
        <v>18</v>
      </c>
      <c r="W135" s="321" t="s">
        <v>18</v>
      </c>
    </row>
    <row r="136" spans="2:33" ht="14.1" customHeight="1" x14ac:dyDescent="0.2">
      <c r="C136" s="242">
        <v>3</v>
      </c>
      <c r="E136" s="230">
        <v>2</v>
      </c>
      <c r="F136" s="230">
        <v>1</v>
      </c>
      <c r="G136" s="230">
        <v>2</v>
      </c>
      <c r="O136" s="244">
        <v>9.4</v>
      </c>
      <c r="P136" s="244">
        <v>8.9</v>
      </c>
      <c r="Q136" s="244" t="s">
        <v>18</v>
      </c>
      <c r="R136" s="244" t="s">
        <v>18</v>
      </c>
      <c r="S136" s="244" t="s">
        <v>18</v>
      </c>
      <c r="T136" s="244" t="s">
        <v>18</v>
      </c>
      <c r="U136" s="244" t="s">
        <v>18</v>
      </c>
      <c r="V136" s="244" t="s">
        <v>18</v>
      </c>
      <c r="W136" s="321" t="s">
        <v>18</v>
      </c>
    </row>
    <row r="137" spans="2:33" ht="14.1" customHeight="1" x14ac:dyDescent="0.2">
      <c r="C137" s="242">
        <v>4</v>
      </c>
      <c r="E137" s="230">
        <v>2</v>
      </c>
      <c r="F137" s="230">
        <v>1</v>
      </c>
      <c r="G137" s="230">
        <v>2</v>
      </c>
      <c r="O137" s="244">
        <v>9.4</v>
      </c>
      <c r="P137" s="244">
        <v>8.9</v>
      </c>
      <c r="Q137" s="244" t="s">
        <v>18</v>
      </c>
      <c r="R137" s="244" t="s">
        <v>18</v>
      </c>
      <c r="S137" s="244" t="s">
        <v>18</v>
      </c>
      <c r="T137" s="244" t="s">
        <v>18</v>
      </c>
      <c r="U137" s="244" t="s">
        <v>18</v>
      </c>
      <c r="V137" s="244" t="s">
        <v>18</v>
      </c>
      <c r="W137" s="321" t="s">
        <v>18</v>
      </c>
    </row>
    <row r="138" spans="2:33" ht="14.1" customHeight="1" x14ac:dyDescent="0.2">
      <c r="C138" s="242">
        <v>5</v>
      </c>
      <c r="E138" s="230">
        <v>2</v>
      </c>
      <c r="F138" s="230">
        <v>25</v>
      </c>
      <c r="G138" s="230">
        <v>50</v>
      </c>
      <c r="O138" s="244">
        <v>7.1</v>
      </c>
      <c r="P138" s="244">
        <v>7.1</v>
      </c>
      <c r="Q138" s="244">
        <v>7.1</v>
      </c>
      <c r="R138" s="244">
        <v>7.1</v>
      </c>
      <c r="S138" s="244">
        <v>7.1</v>
      </c>
      <c r="T138" s="244">
        <v>7.1</v>
      </c>
      <c r="U138" s="244">
        <v>7.1</v>
      </c>
      <c r="V138" s="244">
        <v>7.1</v>
      </c>
      <c r="W138" s="321">
        <v>7.1</v>
      </c>
    </row>
    <row r="139" spans="2:33" ht="14.1" customHeight="1" x14ac:dyDescent="0.2">
      <c r="C139" s="242">
        <v>6</v>
      </c>
      <c r="E139" s="230">
        <v>2</v>
      </c>
      <c r="F139" s="230">
        <v>25</v>
      </c>
      <c r="G139" s="230">
        <v>50</v>
      </c>
      <c r="N139" s="247" t="s">
        <v>275</v>
      </c>
      <c r="O139" s="244">
        <v>11.5</v>
      </c>
      <c r="P139" s="244">
        <v>11.5</v>
      </c>
      <c r="Q139" s="244">
        <v>11.5</v>
      </c>
      <c r="R139" s="244">
        <v>11.5</v>
      </c>
      <c r="S139" s="244">
        <v>11.5</v>
      </c>
      <c r="T139" s="244">
        <v>11.5</v>
      </c>
      <c r="U139" s="244">
        <v>11.5</v>
      </c>
      <c r="V139" s="244" t="s">
        <v>18</v>
      </c>
      <c r="W139" s="321" t="s">
        <v>18</v>
      </c>
    </row>
    <row r="140" spans="2:33" ht="14.1" customHeight="1" x14ac:dyDescent="0.2">
      <c r="C140" s="242">
        <v>7</v>
      </c>
      <c r="E140" s="230">
        <v>2</v>
      </c>
      <c r="F140" s="230">
        <v>25</v>
      </c>
      <c r="G140" s="230">
        <v>50</v>
      </c>
      <c r="N140" s="247" t="s">
        <v>276</v>
      </c>
      <c r="O140" s="244">
        <v>9.6999999999999993</v>
      </c>
      <c r="P140" s="244">
        <v>9.6999999999999993</v>
      </c>
      <c r="Q140" s="244">
        <v>9.6999999999999993</v>
      </c>
      <c r="R140" s="244">
        <v>9.6999999999999993</v>
      </c>
      <c r="S140" s="244">
        <v>9.6999999999999993</v>
      </c>
      <c r="T140" s="244">
        <v>9.6999999999999993</v>
      </c>
      <c r="U140" s="244">
        <v>9.6999999999999993</v>
      </c>
      <c r="V140" s="244" t="s">
        <v>18</v>
      </c>
      <c r="W140" s="321" t="s">
        <v>18</v>
      </c>
    </row>
    <row r="141" spans="2:33" ht="14.1" customHeight="1" x14ac:dyDescent="0.2">
      <c r="C141" s="242">
        <v>8</v>
      </c>
      <c r="E141" s="230">
        <v>2</v>
      </c>
      <c r="F141" s="230">
        <v>25</v>
      </c>
      <c r="G141" s="230">
        <v>50</v>
      </c>
      <c r="N141" s="247" t="s">
        <v>276</v>
      </c>
      <c r="O141" s="244">
        <v>9.6999999999999993</v>
      </c>
      <c r="P141" s="244">
        <v>9.6999999999999993</v>
      </c>
      <c r="Q141" s="244">
        <v>9.6999999999999993</v>
      </c>
      <c r="R141" s="244">
        <v>9.6999999999999993</v>
      </c>
      <c r="S141" s="244">
        <v>9.6999999999999993</v>
      </c>
      <c r="T141" s="244">
        <v>9.6999999999999993</v>
      </c>
      <c r="U141" s="244">
        <v>9.6999999999999993</v>
      </c>
      <c r="V141" s="244" t="s">
        <v>18</v>
      </c>
      <c r="W141" s="321" t="s">
        <v>18</v>
      </c>
    </row>
    <row r="142" spans="2:33" ht="14.1" customHeight="1" x14ac:dyDescent="0.2">
      <c r="C142" s="242">
        <v>9</v>
      </c>
      <c r="E142" s="230" t="e">
        <v>#N/A</v>
      </c>
      <c r="F142" s="230">
        <v>1</v>
      </c>
      <c r="G142" s="230" t="e">
        <v>#N/A</v>
      </c>
      <c r="O142" s="244">
        <v>9.4</v>
      </c>
      <c r="P142" s="244">
        <v>9.4</v>
      </c>
      <c r="Q142" s="244">
        <v>9.4</v>
      </c>
      <c r="R142" s="244" t="s">
        <v>18</v>
      </c>
      <c r="S142" s="244" t="s">
        <v>18</v>
      </c>
      <c r="T142" s="244" t="s">
        <v>18</v>
      </c>
      <c r="U142" s="244" t="s">
        <v>18</v>
      </c>
      <c r="V142" s="244" t="s">
        <v>18</v>
      </c>
      <c r="W142" s="321" t="s">
        <v>18</v>
      </c>
    </row>
    <row r="143" spans="2:33" ht="14.1" customHeight="1" x14ac:dyDescent="0.2">
      <c r="C143" s="242">
        <v>10</v>
      </c>
      <c r="E143" s="230">
        <v>15</v>
      </c>
      <c r="F143" s="230">
        <v>3</v>
      </c>
      <c r="G143" s="230">
        <v>45</v>
      </c>
      <c r="N143" s="247" t="s">
        <v>277</v>
      </c>
      <c r="O143" s="248">
        <v>10.17</v>
      </c>
      <c r="P143" s="244" t="s">
        <v>18</v>
      </c>
      <c r="Q143" s="244" t="s">
        <v>18</v>
      </c>
      <c r="R143" s="244" t="s">
        <v>18</v>
      </c>
      <c r="S143" s="244" t="s">
        <v>18</v>
      </c>
      <c r="T143" s="244" t="s">
        <v>18</v>
      </c>
      <c r="U143" s="244" t="s">
        <v>18</v>
      </c>
      <c r="V143" s="244" t="s">
        <v>18</v>
      </c>
      <c r="W143" s="321" t="s">
        <v>18</v>
      </c>
    </row>
    <row r="144" spans="2:33" ht="14.1" customHeight="1" x14ac:dyDescent="0.2">
      <c r="C144" s="242">
        <v>11</v>
      </c>
      <c r="E144" s="230">
        <v>12</v>
      </c>
      <c r="F144" s="230">
        <v>2</v>
      </c>
      <c r="G144" s="230">
        <v>24</v>
      </c>
      <c r="O144" s="249">
        <v>7</v>
      </c>
      <c r="P144" s="244" t="s">
        <v>18</v>
      </c>
      <c r="Q144" s="244" t="s">
        <v>18</v>
      </c>
      <c r="R144" s="244" t="s">
        <v>18</v>
      </c>
      <c r="S144" s="244" t="s">
        <v>18</v>
      </c>
      <c r="T144" s="244" t="s">
        <v>18</v>
      </c>
      <c r="U144" s="244" t="s">
        <v>18</v>
      </c>
      <c r="V144" s="244" t="s">
        <v>18</v>
      </c>
      <c r="W144" s="321" t="s">
        <v>18</v>
      </c>
    </row>
    <row r="145" spans="3:30" ht="13.5" customHeight="1" x14ac:dyDescent="0.2">
      <c r="C145" s="242">
        <v>12</v>
      </c>
      <c r="E145" s="230">
        <v>12</v>
      </c>
      <c r="F145" s="230">
        <v>4</v>
      </c>
      <c r="G145" s="230">
        <v>48</v>
      </c>
      <c r="O145" s="249">
        <v>2.5</v>
      </c>
      <c r="P145" s="244" t="s">
        <v>18</v>
      </c>
      <c r="Q145" s="244" t="s">
        <v>18</v>
      </c>
      <c r="R145" s="244" t="s">
        <v>18</v>
      </c>
      <c r="S145" s="244" t="s">
        <v>18</v>
      </c>
      <c r="T145" s="244" t="s">
        <v>18</v>
      </c>
      <c r="U145" s="244" t="s">
        <v>18</v>
      </c>
      <c r="V145" s="244" t="s">
        <v>18</v>
      </c>
      <c r="W145" s="321" t="s">
        <v>18</v>
      </c>
      <c r="AD145" s="100"/>
    </row>
    <row r="146" spans="3:30" ht="13.5" customHeight="1" x14ac:dyDescent="0.2">
      <c r="C146" s="242">
        <v>13</v>
      </c>
      <c r="E146" s="230">
        <v>3</v>
      </c>
      <c r="F146" s="230">
        <v>1</v>
      </c>
      <c r="G146" s="230" t="e">
        <v>#N/A</v>
      </c>
      <c r="O146" s="244" t="s">
        <v>18</v>
      </c>
      <c r="P146" s="244" t="s">
        <v>18</v>
      </c>
      <c r="Q146" s="244" t="s">
        <v>18</v>
      </c>
      <c r="R146" s="244" t="s">
        <v>18</v>
      </c>
      <c r="S146" s="244" t="s">
        <v>18</v>
      </c>
      <c r="T146" s="244" t="s">
        <v>18</v>
      </c>
      <c r="U146" s="244" t="s">
        <v>18</v>
      </c>
      <c r="V146" s="244" t="s">
        <v>18</v>
      </c>
      <c r="W146" s="321" t="s">
        <v>18</v>
      </c>
      <c r="AD146" s="100"/>
    </row>
    <row r="147" spans="3:30" ht="13.5" customHeight="1" x14ac:dyDescent="0.2">
      <c r="C147" s="242">
        <v>14</v>
      </c>
      <c r="E147" s="230">
        <v>3</v>
      </c>
      <c r="F147" s="230">
        <v>1</v>
      </c>
      <c r="G147" s="230" t="e">
        <v>#N/A</v>
      </c>
      <c r="O147" s="244" t="s">
        <v>18</v>
      </c>
      <c r="P147" s="244" t="s">
        <v>18</v>
      </c>
      <c r="Q147" s="244" t="s">
        <v>18</v>
      </c>
      <c r="R147" s="244" t="s">
        <v>18</v>
      </c>
      <c r="S147" s="244" t="s">
        <v>18</v>
      </c>
      <c r="T147" s="244" t="s">
        <v>18</v>
      </c>
      <c r="U147" s="244" t="s">
        <v>18</v>
      </c>
      <c r="V147" s="244" t="s">
        <v>18</v>
      </c>
      <c r="W147" s="321" t="s">
        <v>18</v>
      </c>
      <c r="AD147" s="100"/>
    </row>
    <row r="148" spans="3:30" ht="13.5" customHeight="1" x14ac:dyDescent="0.2">
      <c r="C148" s="242">
        <v>15</v>
      </c>
      <c r="E148" s="230">
        <v>20</v>
      </c>
      <c r="F148" s="230">
        <v>1</v>
      </c>
      <c r="G148" s="230">
        <v>20</v>
      </c>
      <c r="O148" s="244" t="s">
        <v>18</v>
      </c>
      <c r="P148" s="244" t="s">
        <v>18</v>
      </c>
      <c r="Q148" s="244" t="s">
        <v>18</v>
      </c>
      <c r="R148" s="244" t="s">
        <v>18</v>
      </c>
      <c r="S148" s="244" t="s">
        <v>18</v>
      </c>
      <c r="T148" s="244" t="s">
        <v>18</v>
      </c>
      <c r="U148" s="244" t="s">
        <v>18</v>
      </c>
      <c r="V148" s="244" t="s">
        <v>18</v>
      </c>
      <c r="W148" s="321" t="s">
        <v>18</v>
      </c>
      <c r="AD148" s="100"/>
    </row>
    <row r="149" spans="3:30" ht="13.5" customHeight="1" x14ac:dyDescent="0.2">
      <c r="C149" s="242">
        <v>16</v>
      </c>
      <c r="E149" s="230">
        <v>20</v>
      </c>
      <c r="F149" s="230">
        <v>1</v>
      </c>
      <c r="G149" s="230" t="e">
        <v>#N/A</v>
      </c>
      <c r="O149" s="244" t="s">
        <v>18</v>
      </c>
      <c r="P149" s="244" t="s">
        <v>18</v>
      </c>
      <c r="Q149" s="244" t="s">
        <v>18</v>
      </c>
      <c r="R149" s="244" t="s">
        <v>18</v>
      </c>
      <c r="S149" s="244" t="s">
        <v>18</v>
      </c>
      <c r="T149" s="244" t="s">
        <v>18</v>
      </c>
      <c r="U149" s="244" t="s">
        <v>18</v>
      </c>
      <c r="V149" s="244" t="s">
        <v>18</v>
      </c>
      <c r="W149" s="321" t="s">
        <v>18</v>
      </c>
      <c r="AD149" s="100"/>
    </row>
    <row r="150" spans="3:30" ht="13.5" customHeight="1" x14ac:dyDescent="0.2">
      <c r="C150" s="250">
        <v>17</v>
      </c>
      <c r="D150" s="251"/>
      <c r="E150" s="252">
        <v>20</v>
      </c>
      <c r="F150" s="252">
        <v>1</v>
      </c>
      <c r="G150" s="252" t="e">
        <v>#N/A</v>
      </c>
      <c r="H150" s="251"/>
      <c r="I150" s="251"/>
      <c r="J150" s="251"/>
      <c r="K150" s="251"/>
      <c r="L150" s="251"/>
      <c r="M150" s="251"/>
      <c r="N150" s="251"/>
      <c r="O150" s="253" t="s">
        <v>18</v>
      </c>
      <c r="P150" s="253" t="s">
        <v>18</v>
      </c>
      <c r="Q150" s="253" t="s">
        <v>18</v>
      </c>
      <c r="R150" s="253" t="s">
        <v>18</v>
      </c>
      <c r="S150" s="253" t="s">
        <v>18</v>
      </c>
      <c r="T150" s="253" t="s">
        <v>18</v>
      </c>
      <c r="U150" s="253" t="s">
        <v>18</v>
      </c>
      <c r="V150" s="253" t="s">
        <v>18</v>
      </c>
      <c r="W150" s="322" t="s">
        <v>18</v>
      </c>
      <c r="AD150" s="100"/>
    </row>
    <row r="151" spans="3:30" ht="14.1" customHeight="1" x14ac:dyDescent="0.2">
      <c r="P151" s="397"/>
      <c r="Q151" s="397"/>
      <c r="R151" s="397"/>
      <c r="S151" s="397"/>
      <c r="T151" s="397"/>
      <c r="U151" s="397"/>
      <c r="V151" s="397"/>
      <c r="W151" s="397"/>
      <c r="X151" s="397"/>
      <c r="Y151" s="433"/>
      <c r="Z151" s="433"/>
      <c r="AA151" s="433"/>
      <c r="AB151" s="433"/>
      <c r="AC151" s="433"/>
    </row>
    <row r="152" spans="3:30" ht="14.1" customHeight="1" x14ac:dyDescent="0.2">
      <c r="C152" s="55"/>
      <c r="D152" s="55"/>
      <c r="E152" s="55"/>
      <c r="F152" s="55"/>
      <c r="G152" s="55"/>
      <c r="H152" s="55"/>
      <c r="I152" s="55"/>
      <c r="J152" s="55"/>
      <c r="K152" s="55"/>
      <c r="L152" s="55"/>
      <c r="M152" s="55"/>
      <c r="N152" s="55"/>
      <c r="O152" s="55"/>
      <c r="P152" s="55"/>
      <c r="Q152" s="55"/>
      <c r="R152" s="397"/>
      <c r="S152" s="397"/>
      <c r="T152" s="397"/>
      <c r="U152" s="397"/>
      <c r="V152" s="397"/>
      <c r="W152" s="397"/>
      <c r="X152" s="397"/>
      <c r="Y152" s="433"/>
      <c r="Z152" s="433"/>
      <c r="AA152" s="433"/>
      <c r="AB152" s="433"/>
      <c r="AC152" s="433"/>
    </row>
    <row r="153" spans="3:30" ht="14.1" customHeight="1" x14ac:dyDescent="0.2">
      <c r="C153" s="55"/>
      <c r="D153" s="55"/>
      <c r="E153" s="55"/>
      <c r="F153" s="55"/>
      <c r="G153" s="55"/>
      <c r="H153" s="55"/>
      <c r="I153" s="55"/>
      <c r="J153" s="55"/>
      <c r="K153" s="55"/>
      <c r="L153" s="55"/>
      <c r="M153" s="55"/>
      <c r="N153" s="55"/>
      <c r="O153" s="55"/>
      <c r="P153" s="55"/>
      <c r="Q153" s="55"/>
      <c r="R153" s="397"/>
      <c r="S153" s="434" t="s">
        <v>232</v>
      </c>
      <c r="T153" s="427" t="s">
        <v>365</v>
      </c>
      <c r="U153" s="427" t="s">
        <v>366</v>
      </c>
      <c r="V153" s="427" t="s">
        <v>367</v>
      </c>
      <c r="W153" s="427" t="s">
        <v>368</v>
      </c>
      <c r="X153" s="426" t="s">
        <v>379</v>
      </c>
      <c r="Y153" s="427" t="s">
        <v>365</v>
      </c>
      <c r="Z153" s="427" t="s">
        <v>366</v>
      </c>
      <c r="AA153" s="427" t="s">
        <v>367</v>
      </c>
      <c r="AB153" s="427" t="s">
        <v>368</v>
      </c>
      <c r="AC153" s="426" t="s">
        <v>368</v>
      </c>
    </row>
    <row r="154" spans="3:30" ht="14.1" customHeight="1" x14ac:dyDescent="0.2">
      <c r="C154" s="55"/>
      <c r="D154" s="55"/>
      <c r="E154" s="55"/>
      <c r="F154" s="55"/>
      <c r="G154" s="55"/>
      <c r="H154" s="55"/>
      <c r="I154" s="55"/>
      <c r="J154" s="55"/>
      <c r="K154" s="55"/>
      <c r="L154" s="55"/>
      <c r="M154" s="55"/>
      <c r="N154" s="55"/>
      <c r="O154" s="55"/>
      <c r="P154" s="55"/>
      <c r="Q154" s="55"/>
      <c r="R154" s="397"/>
      <c r="S154" s="435"/>
      <c r="T154" s="509" t="s">
        <v>380</v>
      </c>
      <c r="U154" s="510"/>
      <c r="V154" s="510"/>
      <c r="W154" s="510"/>
      <c r="X154" s="510"/>
      <c r="Y154" s="509" t="s">
        <v>381</v>
      </c>
      <c r="Z154" s="510"/>
      <c r="AA154" s="510"/>
      <c r="AB154" s="510"/>
      <c r="AC154" s="511"/>
    </row>
    <row r="155" spans="3:30" ht="14.1" customHeight="1" x14ac:dyDescent="0.2">
      <c r="C155" s="55"/>
      <c r="D155" s="55"/>
      <c r="E155" s="55"/>
      <c r="F155" s="55"/>
      <c r="G155" s="55"/>
      <c r="H155" s="55"/>
      <c r="I155" s="55"/>
      <c r="J155" s="55"/>
      <c r="K155" s="55"/>
      <c r="L155" s="55"/>
      <c r="M155" s="55"/>
      <c r="N155" s="55"/>
      <c r="O155" s="55"/>
      <c r="P155" s="55"/>
      <c r="Q155" s="55"/>
      <c r="R155" s="397"/>
      <c r="S155" s="436">
        <v>1</v>
      </c>
      <c r="T155" s="428"/>
      <c r="U155" s="428"/>
      <c r="V155" s="428"/>
      <c r="W155" s="428"/>
      <c r="X155" s="429"/>
      <c r="Y155" s="428"/>
      <c r="Z155" s="428"/>
      <c r="AA155" s="428"/>
      <c r="AB155" s="428"/>
      <c r="AC155" s="429"/>
    </row>
    <row r="156" spans="3:30" ht="14.1" customHeight="1" x14ac:dyDescent="0.2">
      <c r="C156" s="55"/>
      <c r="D156" s="55"/>
      <c r="E156" s="55"/>
      <c r="F156" s="55"/>
      <c r="G156" s="55"/>
      <c r="H156" s="55"/>
      <c r="I156" s="55"/>
      <c r="J156" s="55"/>
      <c r="K156" s="55"/>
      <c r="L156" s="55"/>
      <c r="M156" s="55"/>
      <c r="N156" s="55"/>
      <c r="O156" s="55"/>
      <c r="P156" s="55"/>
      <c r="Q156" s="55"/>
      <c r="R156" s="397"/>
      <c r="S156" s="436">
        <v>2</v>
      </c>
      <c r="T156" s="428"/>
      <c r="U156" s="428"/>
      <c r="V156" s="428"/>
      <c r="W156" s="428"/>
      <c r="X156" s="429"/>
      <c r="Y156" s="428"/>
      <c r="Z156" s="428"/>
      <c r="AA156" s="428"/>
      <c r="AB156" s="428"/>
      <c r="AC156" s="429"/>
    </row>
    <row r="157" spans="3:30" ht="14.1" customHeight="1" x14ac:dyDescent="0.2">
      <c r="C157" s="55"/>
      <c r="D157" s="55"/>
      <c r="E157" s="55"/>
      <c r="F157" s="55"/>
      <c r="G157" s="55"/>
      <c r="H157" s="55"/>
      <c r="I157" s="55"/>
      <c r="J157" s="55"/>
      <c r="K157" s="55"/>
      <c r="L157" s="55"/>
      <c r="M157" s="55"/>
      <c r="N157" s="55"/>
      <c r="O157" s="55"/>
      <c r="P157" s="55"/>
      <c r="Q157" s="55"/>
      <c r="R157" s="397"/>
      <c r="S157" s="436">
        <v>3</v>
      </c>
      <c r="T157" s="428"/>
      <c r="U157" s="428"/>
      <c r="V157" s="428"/>
      <c r="W157" s="428"/>
      <c r="X157" s="429"/>
      <c r="Y157" s="428"/>
      <c r="Z157" s="428"/>
      <c r="AA157" s="428"/>
      <c r="AB157" s="428"/>
      <c r="AC157" s="429"/>
    </row>
    <row r="158" spans="3:30" ht="14.1" customHeight="1" x14ac:dyDescent="0.2">
      <c r="C158" s="55"/>
      <c r="D158" s="55"/>
      <c r="E158" s="55"/>
      <c r="F158" s="55"/>
      <c r="G158" s="55"/>
      <c r="H158" s="55"/>
      <c r="I158" s="55"/>
      <c r="J158" s="55"/>
      <c r="K158" s="55"/>
      <c r="L158" s="55"/>
      <c r="M158" s="55"/>
      <c r="N158" s="55"/>
      <c r="O158" s="55"/>
      <c r="P158" s="55"/>
      <c r="Q158" s="55"/>
      <c r="R158" s="397"/>
      <c r="S158" s="436">
        <v>4</v>
      </c>
      <c r="T158" s="428"/>
      <c r="U158" s="428"/>
      <c r="V158" s="428"/>
      <c r="W158" s="428"/>
      <c r="X158" s="429"/>
      <c r="Y158" s="428"/>
      <c r="Z158" s="428"/>
      <c r="AA158" s="428"/>
      <c r="AB158" s="428"/>
      <c r="AC158" s="429"/>
    </row>
    <row r="159" spans="3:30" ht="14.1" customHeight="1" x14ac:dyDescent="0.2">
      <c r="C159" s="55"/>
      <c r="D159" s="55"/>
      <c r="E159" s="55"/>
      <c r="F159" s="55"/>
      <c r="G159" s="55"/>
      <c r="H159" s="55"/>
      <c r="I159" s="55"/>
      <c r="J159" s="55"/>
      <c r="K159" s="55"/>
      <c r="L159" s="55"/>
      <c r="M159" s="55"/>
      <c r="N159" s="55"/>
      <c r="O159" s="55"/>
      <c r="P159" s="55"/>
      <c r="Q159" s="55"/>
      <c r="R159" s="397"/>
      <c r="S159" s="436">
        <v>5</v>
      </c>
      <c r="T159" s="428"/>
      <c r="U159" s="428"/>
      <c r="V159" s="428"/>
      <c r="W159" s="428"/>
      <c r="X159" s="429"/>
      <c r="Y159" s="428"/>
      <c r="Z159" s="428"/>
      <c r="AA159" s="428"/>
      <c r="AB159" s="428"/>
      <c r="AC159" s="429"/>
    </row>
    <row r="160" spans="3:30" ht="14.1" customHeight="1" x14ac:dyDescent="0.2">
      <c r="C160" s="55"/>
      <c r="D160" s="55"/>
      <c r="E160" s="55"/>
      <c r="F160" s="55"/>
      <c r="G160" s="55"/>
      <c r="H160" s="55"/>
      <c r="I160" s="55"/>
      <c r="J160" s="55"/>
      <c r="K160" s="55"/>
      <c r="L160" s="55"/>
      <c r="M160" s="55"/>
      <c r="N160" s="55"/>
      <c r="O160" s="55"/>
      <c r="P160" s="55"/>
      <c r="Q160" s="55"/>
      <c r="R160" s="397"/>
      <c r="S160" s="436">
        <v>6</v>
      </c>
      <c r="T160" s="428"/>
      <c r="U160" s="428"/>
      <c r="V160" s="428"/>
      <c r="W160" s="428"/>
      <c r="X160" s="429"/>
      <c r="Y160" s="428"/>
      <c r="Z160" s="428"/>
      <c r="AA160" s="428"/>
      <c r="AB160" s="428"/>
      <c r="AC160" s="429"/>
    </row>
    <row r="161" spans="3:29" ht="14.1" customHeight="1" x14ac:dyDescent="0.2">
      <c r="C161" s="55"/>
      <c r="D161" s="55"/>
      <c r="E161" s="55"/>
      <c r="F161" s="55"/>
      <c r="G161" s="55"/>
      <c r="H161" s="55"/>
      <c r="I161" s="55"/>
      <c r="J161" s="55"/>
      <c r="K161" s="55"/>
      <c r="L161" s="55"/>
      <c r="M161" s="55"/>
      <c r="N161" s="55"/>
      <c r="O161" s="55"/>
      <c r="P161" s="55"/>
      <c r="Q161" s="55"/>
      <c r="R161" s="397"/>
      <c r="S161" s="436">
        <v>7</v>
      </c>
      <c r="T161" s="428"/>
      <c r="U161" s="428"/>
      <c r="V161" s="428"/>
      <c r="W161" s="428"/>
      <c r="X161" s="429"/>
      <c r="Y161" s="428"/>
      <c r="Z161" s="428"/>
      <c r="AA161" s="428"/>
      <c r="AB161" s="428"/>
      <c r="AC161" s="429"/>
    </row>
    <row r="162" spans="3:29" ht="14.1" customHeight="1" x14ac:dyDescent="0.2">
      <c r="C162" s="55"/>
      <c r="D162" s="55"/>
      <c r="E162" s="55"/>
      <c r="F162" s="55"/>
      <c r="G162" s="55"/>
      <c r="H162" s="55"/>
      <c r="I162" s="55"/>
      <c r="J162" s="55"/>
      <c r="K162" s="55"/>
      <c r="L162" s="55"/>
      <c r="M162" s="55"/>
      <c r="N162" s="55"/>
      <c r="O162" s="55"/>
      <c r="P162" s="55"/>
      <c r="Q162" s="55"/>
      <c r="R162" s="397"/>
      <c r="S162" s="436">
        <v>8</v>
      </c>
      <c r="T162" s="428"/>
      <c r="U162" s="428"/>
      <c r="V162" s="428"/>
      <c r="W162" s="428"/>
      <c r="X162" s="429"/>
      <c r="Y162" s="428"/>
      <c r="Z162" s="428"/>
      <c r="AA162" s="428"/>
      <c r="AB162" s="428"/>
      <c r="AC162" s="429"/>
    </row>
    <row r="163" spans="3:29" ht="14.1" customHeight="1" x14ac:dyDescent="0.2">
      <c r="C163" s="55"/>
      <c r="D163" s="55"/>
      <c r="E163" s="55"/>
      <c r="F163" s="55"/>
      <c r="G163" s="55"/>
      <c r="H163" s="55"/>
      <c r="I163" s="55"/>
      <c r="J163" s="55"/>
      <c r="K163" s="55"/>
      <c r="L163" s="55"/>
      <c r="M163" s="55"/>
      <c r="N163" s="55"/>
      <c r="O163" s="55"/>
      <c r="P163" s="55"/>
      <c r="Q163" s="55"/>
      <c r="R163" s="397"/>
      <c r="S163" s="436">
        <v>9</v>
      </c>
      <c r="T163" s="428"/>
      <c r="U163" s="428"/>
      <c r="V163" s="428"/>
      <c r="W163" s="428"/>
      <c r="X163" s="429"/>
      <c r="Y163" s="428"/>
      <c r="Z163" s="428"/>
      <c r="AA163" s="428"/>
      <c r="AB163" s="428"/>
      <c r="AC163" s="429"/>
    </row>
    <row r="164" spans="3:29" ht="14.1" customHeight="1" x14ac:dyDescent="0.2">
      <c r="C164" s="55"/>
      <c r="D164" s="55"/>
      <c r="E164" s="55"/>
      <c r="F164" s="55"/>
      <c r="G164" s="55"/>
      <c r="H164" s="55"/>
      <c r="I164" s="55"/>
      <c r="J164" s="55"/>
      <c r="K164" s="55"/>
      <c r="L164" s="55"/>
      <c r="M164" s="55"/>
      <c r="N164" s="55"/>
      <c r="O164" s="55"/>
      <c r="P164" s="55"/>
      <c r="Q164" s="55"/>
      <c r="R164" s="397"/>
      <c r="S164" s="436">
        <v>10</v>
      </c>
      <c r="T164" s="428" t="s">
        <v>369</v>
      </c>
      <c r="U164" s="428"/>
      <c r="V164" s="428"/>
      <c r="W164" s="428"/>
      <c r="X164" s="429"/>
      <c r="Y164" s="428" t="b">
        <v>1</v>
      </c>
      <c r="Z164" s="428"/>
      <c r="AA164" s="428"/>
      <c r="AB164" s="428"/>
      <c r="AC164" s="429"/>
    </row>
    <row r="165" spans="3:29" ht="14.1" customHeight="1" x14ac:dyDescent="0.2">
      <c r="C165" s="55"/>
      <c r="D165" s="55"/>
      <c r="E165" s="55"/>
      <c r="F165" s="55"/>
      <c r="G165" s="55"/>
      <c r="H165" s="55"/>
      <c r="I165" s="55"/>
      <c r="J165" s="55"/>
      <c r="K165" s="55"/>
      <c r="L165" s="55"/>
      <c r="M165" s="55"/>
      <c r="N165" s="55"/>
      <c r="O165" s="55"/>
      <c r="P165" s="55"/>
      <c r="Q165" s="55"/>
      <c r="R165" s="397"/>
      <c r="S165" s="436">
        <v>11</v>
      </c>
      <c r="T165" s="428" t="s">
        <v>370</v>
      </c>
      <c r="U165" s="428"/>
      <c r="V165" s="428"/>
      <c r="W165" s="428"/>
      <c r="X165" s="429"/>
      <c r="Y165" s="428" t="b">
        <v>1</v>
      </c>
      <c r="Z165" s="428"/>
      <c r="AA165" s="428"/>
      <c r="AB165" s="428"/>
      <c r="AC165" s="429"/>
    </row>
    <row r="166" spans="3:29" ht="14.1" customHeight="1" x14ac:dyDescent="0.2">
      <c r="C166" s="55"/>
      <c r="D166" s="55"/>
      <c r="E166" s="55"/>
      <c r="F166" s="55"/>
      <c r="G166" s="55"/>
      <c r="H166" s="55"/>
      <c r="I166" s="55"/>
      <c r="J166" s="55"/>
      <c r="K166" s="55"/>
      <c r="L166" s="55"/>
      <c r="M166" s="55"/>
      <c r="N166" s="55"/>
      <c r="O166" s="55"/>
      <c r="P166" s="55"/>
      <c r="Q166" s="55"/>
      <c r="R166" s="397"/>
      <c r="S166" s="436">
        <v>12</v>
      </c>
      <c r="T166" s="428" t="s">
        <v>371</v>
      </c>
      <c r="U166" s="428"/>
      <c r="V166" s="428"/>
      <c r="W166" s="428"/>
      <c r="X166" s="429"/>
      <c r="Y166" s="428" t="b">
        <v>0</v>
      </c>
      <c r="Z166" s="428"/>
      <c r="AA166" s="428"/>
      <c r="AB166" s="428"/>
      <c r="AC166" s="429"/>
    </row>
    <row r="167" spans="3:29" ht="14.1" customHeight="1" x14ac:dyDescent="0.2">
      <c r="C167" s="55"/>
      <c r="D167" s="55"/>
      <c r="E167" s="55"/>
      <c r="F167" s="55"/>
      <c r="G167" s="55"/>
      <c r="H167" s="55"/>
      <c r="I167" s="55"/>
      <c r="J167" s="55"/>
      <c r="K167" s="55"/>
      <c r="L167" s="55"/>
      <c r="M167" s="55"/>
      <c r="N167" s="55"/>
      <c r="O167" s="55"/>
      <c r="P167" s="55"/>
      <c r="Q167" s="55"/>
      <c r="R167" s="397"/>
      <c r="S167" s="436">
        <v>13</v>
      </c>
      <c r="T167" s="428"/>
      <c r="U167" s="428"/>
      <c r="V167" s="428"/>
      <c r="W167" s="428"/>
      <c r="X167" s="429"/>
      <c r="Y167" s="428"/>
      <c r="Z167" s="428"/>
      <c r="AA167" s="428"/>
      <c r="AB167" s="428"/>
      <c r="AC167" s="429"/>
    </row>
    <row r="168" spans="3:29" ht="14.1" customHeight="1" x14ac:dyDescent="0.2">
      <c r="C168" s="55"/>
      <c r="D168" s="55"/>
      <c r="E168" s="55"/>
      <c r="F168" s="55"/>
      <c r="G168" s="55"/>
      <c r="H168" s="55"/>
      <c r="I168" s="55"/>
      <c r="J168" s="55"/>
      <c r="K168" s="55"/>
      <c r="L168" s="55"/>
      <c r="M168" s="55"/>
      <c r="N168" s="55"/>
      <c r="O168" s="55"/>
      <c r="P168" s="55"/>
      <c r="Q168" s="55"/>
      <c r="R168" s="397"/>
      <c r="S168" s="436">
        <v>14</v>
      </c>
      <c r="T168" s="428"/>
      <c r="U168" s="428"/>
      <c r="V168" s="428"/>
      <c r="W168" s="428"/>
      <c r="X168" s="429"/>
      <c r="Y168" s="428"/>
      <c r="Z168" s="428"/>
      <c r="AA168" s="428"/>
      <c r="AB168" s="428"/>
      <c r="AC168" s="429"/>
    </row>
    <row r="169" spans="3:29" ht="14.1" customHeight="1" x14ac:dyDescent="0.2">
      <c r="C169" s="55"/>
      <c r="D169" s="55"/>
      <c r="E169" s="55"/>
      <c r="F169" s="55"/>
      <c r="G169" s="55"/>
      <c r="H169" s="55"/>
      <c r="I169" s="55"/>
      <c r="J169" s="55"/>
      <c r="K169" s="55"/>
      <c r="L169" s="55"/>
      <c r="M169" s="55"/>
      <c r="N169" s="55"/>
      <c r="O169" s="55"/>
      <c r="P169" s="55"/>
      <c r="Q169" s="55"/>
      <c r="R169" s="397"/>
      <c r="S169" s="436">
        <v>15</v>
      </c>
      <c r="T169" s="428" t="s">
        <v>372</v>
      </c>
      <c r="U169" s="428"/>
      <c r="V169" s="428"/>
      <c r="W169" s="428"/>
      <c r="X169" s="429"/>
      <c r="Y169" s="428" t="b">
        <v>0</v>
      </c>
      <c r="Z169" s="428"/>
      <c r="AA169" s="428"/>
      <c r="AB169" s="428"/>
      <c r="AC169" s="429"/>
    </row>
    <row r="170" spans="3:29" ht="14.1" customHeight="1" x14ac:dyDescent="0.2">
      <c r="C170" s="55"/>
      <c r="D170" s="55"/>
      <c r="E170" s="55"/>
      <c r="F170" s="55"/>
      <c r="G170" s="55"/>
      <c r="H170" s="55"/>
      <c r="I170" s="55"/>
      <c r="J170" s="55"/>
      <c r="K170" s="55"/>
      <c r="L170" s="55"/>
      <c r="M170" s="55"/>
      <c r="N170" s="55"/>
      <c r="O170" s="55"/>
      <c r="P170" s="55"/>
      <c r="Q170" s="55"/>
      <c r="R170" s="397"/>
      <c r="S170" s="436">
        <v>16</v>
      </c>
      <c r="T170" s="428" t="s">
        <v>372</v>
      </c>
      <c r="U170" s="428" t="s">
        <v>374</v>
      </c>
      <c r="V170" s="428" t="s">
        <v>373</v>
      </c>
      <c r="W170" s="428"/>
      <c r="X170" s="429"/>
      <c r="Y170" s="428" t="b">
        <v>0</v>
      </c>
      <c r="Z170" s="428" t="b">
        <v>0</v>
      </c>
      <c r="AA170" s="428" t="b">
        <v>0</v>
      </c>
      <c r="AB170" s="428"/>
      <c r="AC170" s="429"/>
    </row>
    <row r="171" spans="3:29" ht="14.1" customHeight="1" x14ac:dyDescent="0.2">
      <c r="C171" s="55"/>
      <c r="D171" s="55"/>
      <c r="E171" s="55"/>
      <c r="F171" s="55"/>
      <c r="G171" s="55"/>
      <c r="H171" s="55"/>
      <c r="I171" s="55"/>
      <c r="J171" s="55"/>
      <c r="K171" s="55"/>
      <c r="L171" s="55"/>
      <c r="M171" s="55"/>
      <c r="N171" s="55"/>
      <c r="O171" s="55"/>
      <c r="P171" s="55"/>
      <c r="Q171" s="55"/>
      <c r="R171" s="397"/>
      <c r="S171" s="437">
        <v>17</v>
      </c>
      <c r="T171" s="430" t="s">
        <v>372</v>
      </c>
      <c r="U171" s="430" t="s">
        <v>375</v>
      </c>
      <c r="V171" s="430"/>
      <c r="W171" s="430" t="s">
        <v>373</v>
      </c>
      <c r="X171" s="431" t="s">
        <v>374</v>
      </c>
      <c r="Y171" s="430" t="b">
        <v>0</v>
      </c>
      <c r="Z171" s="430" t="b">
        <v>0</v>
      </c>
      <c r="AA171" s="430" t="b">
        <v>0</v>
      </c>
      <c r="AB171" s="430" t="b">
        <v>0</v>
      </c>
      <c r="AC171" s="431" t="b">
        <v>0</v>
      </c>
    </row>
    <row r="172" spans="3:29" ht="14.1" customHeight="1" x14ac:dyDescent="0.2">
      <c r="C172" s="55"/>
      <c r="D172" s="55"/>
      <c r="E172" s="55"/>
      <c r="F172" s="55"/>
      <c r="G172" s="55"/>
      <c r="H172" s="55"/>
      <c r="I172" s="55"/>
      <c r="J172" s="55"/>
      <c r="K172" s="55"/>
      <c r="L172" s="55"/>
      <c r="M172" s="55"/>
      <c r="N172" s="55"/>
      <c r="O172" s="55"/>
      <c r="P172" s="55"/>
      <c r="Q172" s="55"/>
      <c r="R172" s="397"/>
      <c r="S172" s="397"/>
      <c r="T172" s="397"/>
      <c r="U172" s="397"/>
      <c r="V172" s="397"/>
      <c r="W172" s="438"/>
      <c r="X172" s="397"/>
      <c r="Y172" s="433"/>
      <c r="Z172" s="433"/>
      <c r="AA172" s="433"/>
      <c r="AB172" s="433"/>
      <c r="AC172" s="433"/>
    </row>
    <row r="173" spans="3:29" ht="14.1" customHeight="1" x14ac:dyDescent="0.2">
      <c r="C173" s="55"/>
      <c r="D173" s="55"/>
      <c r="E173" s="55"/>
      <c r="F173" s="55"/>
      <c r="G173" s="55"/>
      <c r="H173" s="55"/>
      <c r="I173" s="55"/>
      <c r="J173" s="55"/>
      <c r="K173" s="55"/>
      <c r="L173" s="55"/>
      <c r="M173" s="55"/>
      <c r="N173" s="55"/>
      <c r="O173" s="55"/>
      <c r="P173" s="55"/>
      <c r="Q173" s="55"/>
      <c r="R173" s="397"/>
      <c r="S173" s="397" t="s">
        <v>407</v>
      </c>
      <c r="T173" s="397"/>
      <c r="U173" s="397"/>
      <c r="V173" s="397"/>
      <c r="W173" s="438"/>
      <c r="X173" s="397"/>
      <c r="Y173" s="433"/>
      <c r="Z173" s="433"/>
      <c r="AA173" s="433"/>
      <c r="AB173" s="433"/>
      <c r="AC173" s="433"/>
    </row>
    <row r="174" spans="3:29" ht="14.1" customHeight="1" x14ac:dyDescent="0.2">
      <c r="C174" s="55"/>
      <c r="D174" s="55"/>
      <c r="E174" s="55"/>
      <c r="F174" s="55"/>
      <c r="G174" s="55"/>
      <c r="H174" s="55"/>
      <c r="I174" s="55"/>
      <c r="J174" s="55"/>
      <c r="K174" s="55"/>
      <c r="L174" s="55"/>
      <c r="M174" s="55"/>
      <c r="N174" s="55"/>
      <c r="O174" s="55"/>
      <c r="P174" s="55"/>
      <c r="Q174" s="55"/>
      <c r="R174" s="397"/>
      <c r="S174" s="483" t="s">
        <v>404</v>
      </c>
      <c r="T174" s="481"/>
      <c r="U174" s="481"/>
      <c r="V174" s="481"/>
      <c r="W174" s="484"/>
      <c r="X174" s="397"/>
      <c r="Y174" s="433"/>
      <c r="Z174" s="433"/>
      <c r="AA174" s="433"/>
      <c r="AB174" s="433"/>
      <c r="AC174" s="433"/>
    </row>
    <row r="175" spans="3:29" ht="14.1" customHeight="1" x14ac:dyDescent="0.25">
      <c r="C175" s="55"/>
      <c r="D175" s="55"/>
      <c r="E175" s="55"/>
      <c r="F175" s="55"/>
      <c r="G175" s="55"/>
      <c r="H175" s="55"/>
      <c r="I175" s="55"/>
      <c r="J175" s="55"/>
      <c r="K175" s="55"/>
      <c r="L175" s="55"/>
      <c r="M175" s="55"/>
      <c r="N175" s="55"/>
      <c r="O175" s="55"/>
      <c r="P175" s="55"/>
      <c r="Q175" s="55"/>
      <c r="R175" s="397"/>
      <c r="S175" s="485" t="s">
        <v>400</v>
      </c>
      <c r="T175" s="486" t="s">
        <v>243</v>
      </c>
      <c r="U175" s="486" t="s">
        <v>401</v>
      </c>
      <c r="V175" s="486" t="s">
        <v>402</v>
      </c>
      <c r="W175" s="487" t="s">
        <v>403</v>
      </c>
      <c r="X175" s="397"/>
      <c r="Y175" s="433"/>
      <c r="Z175" s="433"/>
      <c r="AA175" s="433"/>
      <c r="AB175" s="433"/>
      <c r="AC175" s="433"/>
    </row>
    <row r="176" spans="3:29" ht="14.1" customHeight="1" x14ac:dyDescent="0.2">
      <c r="C176" s="55"/>
      <c r="D176" s="55"/>
      <c r="E176" s="55"/>
      <c r="F176" s="55"/>
      <c r="G176" s="55"/>
      <c r="H176" s="55"/>
      <c r="I176" s="55"/>
      <c r="J176" s="55"/>
      <c r="K176" s="55"/>
      <c r="L176" s="55"/>
      <c r="M176" s="55"/>
      <c r="N176" s="55"/>
      <c r="O176" s="55"/>
      <c r="P176" s="55"/>
      <c r="Q176" s="55"/>
      <c r="R176" s="397"/>
      <c r="S176" s="488">
        <v>2</v>
      </c>
      <c r="T176" s="489">
        <v>3</v>
      </c>
      <c r="U176" s="489">
        <v>8</v>
      </c>
      <c r="V176" s="489">
        <v>3</v>
      </c>
      <c r="W176" s="490">
        <v>0.98799999999999999</v>
      </c>
      <c r="X176" s="397"/>
      <c r="Y176" s="433"/>
      <c r="Z176" s="433"/>
      <c r="AA176" s="433"/>
      <c r="AB176" s="433"/>
      <c r="AC176" s="433"/>
    </row>
    <row r="177" spans="3:29" ht="14.1" customHeight="1" x14ac:dyDescent="0.2">
      <c r="C177" s="55"/>
      <c r="D177" s="55"/>
      <c r="E177" s="55"/>
      <c r="F177" s="55"/>
      <c r="G177" s="55"/>
      <c r="H177" s="55"/>
      <c r="I177" s="55"/>
      <c r="J177" s="55"/>
      <c r="K177" s="55"/>
      <c r="L177" s="55"/>
      <c r="M177" s="55"/>
      <c r="N177" s="55"/>
      <c r="O177" s="55"/>
      <c r="P177" s="55"/>
      <c r="Q177" s="55"/>
      <c r="R177" s="397"/>
      <c r="S177" s="488">
        <v>1</v>
      </c>
      <c r="T177" s="489">
        <v>2</v>
      </c>
      <c r="U177" s="489">
        <v>10</v>
      </c>
      <c r="V177" s="489">
        <v>10</v>
      </c>
      <c r="W177" s="490">
        <v>0.99</v>
      </c>
      <c r="X177" s="397"/>
      <c r="Y177" s="433"/>
      <c r="Z177" s="433"/>
      <c r="AA177" s="433"/>
      <c r="AB177" s="433"/>
      <c r="AC177" s="433"/>
    </row>
    <row r="178" spans="3:29" ht="14.1" customHeight="1" x14ac:dyDescent="0.2">
      <c r="C178" s="55"/>
      <c r="D178" s="55"/>
      <c r="E178" s="55"/>
      <c r="F178" s="55"/>
      <c r="G178" s="55"/>
      <c r="H178" s="55"/>
      <c r="I178" s="55"/>
      <c r="J178" s="55"/>
      <c r="K178" s="55"/>
      <c r="L178" s="55"/>
      <c r="M178" s="55"/>
      <c r="N178" s="55"/>
      <c r="O178" s="55"/>
      <c r="P178" s="55"/>
      <c r="Q178" s="55"/>
      <c r="R178" s="397"/>
      <c r="S178" s="488">
        <v>2</v>
      </c>
      <c r="T178" s="489">
        <v>1</v>
      </c>
      <c r="U178" s="489">
        <v>15</v>
      </c>
      <c r="V178" s="489">
        <v>10</v>
      </c>
      <c r="W178" s="490">
        <v>0.99</v>
      </c>
      <c r="X178" s="397"/>
      <c r="Y178" s="433"/>
      <c r="Z178" s="433"/>
      <c r="AA178" s="433"/>
      <c r="AB178" s="433"/>
      <c r="AC178" s="433"/>
    </row>
    <row r="179" spans="3:29" ht="14.1" customHeight="1" x14ac:dyDescent="0.2">
      <c r="C179" s="55"/>
      <c r="D179" s="55"/>
      <c r="E179" s="55"/>
      <c r="F179" s="55"/>
      <c r="G179" s="55"/>
      <c r="H179" s="55"/>
      <c r="I179" s="55"/>
      <c r="J179" s="55"/>
      <c r="K179" s="55"/>
      <c r="L179" s="55"/>
      <c r="M179" s="55"/>
      <c r="N179" s="55"/>
      <c r="O179" s="55"/>
      <c r="P179" s="55"/>
      <c r="Q179" s="55"/>
      <c r="R179" s="397"/>
      <c r="S179" s="488">
        <v>1</v>
      </c>
      <c r="T179" s="489">
        <v>1</v>
      </c>
      <c r="U179" s="489">
        <v>15</v>
      </c>
      <c r="V179" s="489">
        <v>15</v>
      </c>
      <c r="W179" s="490">
        <v>0.99199999999999999</v>
      </c>
      <c r="X179" s="397"/>
      <c r="Y179" s="433"/>
      <c r="Z179" s="433"/>
      <c r="AA179" s="433"/>
      <c r="AB179" s="433"/>
      <c r="AC179" s="433"/>
    </row>
    <row r="180" spans="3:29" ht="14.1" customHeight="1" x14ac:dyDescent="0.2">
      <c r="C180" s="55"/>
      <c r="D180" s="55"/>
      <c r="E180" s="55"/>
      <c r="F180" s="55"/>
      <c r="G180" s="55"/>
      <c r="H180" s="55"/>
      <c r="I180" s="55"/>
      <c r="J180" s="55"/>
      <c r="K180" s="55"/>
      <c r="L180" s="55"/>
      <c r="M180" s="55"/>
      <c r="N180" s="55"/>
      <c r="O180" s="55"/>
      <c r="P180" s="55"/>
      <c r="Q180" s="55"/>
      <c r="R180" s="397"/>
      <c r="S180" s="488">
        <v>1</v>
      </c>
      <c r="T180" s="489">
        <v>4</v>
      </c>
      <c r="U180" s="489">
        <v>20</v>
      </c>
      <c r="V180" s="489">
        <v>20</v>
      </c>
      <c r="W180" s="490">
        <v>0.99299999999999999</v>
      </c>
      <c r="X180" s="397"/>
      <c r="Y180" s="433"/>
      <c r="Z180" s="433"/>
      <c r="AA180" s="433"/>
      <c r="AB180" s="433"/>
      <c r="AC180" s="433"/>
    </row>
    <row r="181" spans="3:29" ht="14.1" customHeight="1" x14ac:dyDescent="0.2">
      <c r="C181" s="55"/>
      <c r="D181" s="55"/>
      <c r="E181" s="55"/>
      <c r="F181" s="55"/>
      <c r="G181" s="55"/>
      <c r="H181" s="55"/>
      <c r="I181" s="55"/>
      <c r="J181" s="55"/>
      <c r="K181" s="55"/>
      <c r="L181" s="55"/>
      <c r="M181" s="55"/>
      <c r="N181" s="55"/>
      <c r="O181" s="55"/>
      <c r="P181" s="55"/>
      <c r="Q181" s="55"/>
      <c r="R181" s="397"/>
      <c r="S181" s="482" t="s">
        <v>405</v>
      </c>
      <c r="T181" s="491"/>
      <c r="U181" s="491"/>
      <c r="V181" s="491"/>
      <c r="W181" s="490">
        <v>0.99399999999999999</v>
      </c>
      <c r="X181" s="397"/>
      <c r="Y181" s="433"/>
      <c r="Z181" s="433"/>
      <c r="AA181" s="433"/>
      <c r="AB181" s="433"/>
      <c r="AC181" s="433"/>
    </row>
    <row r="182" spans="3:29" ht="14.1" customHeight="1" x14ac:dyDescent="0.2">
      <c r="C182" s="55"/>
      <c r="D182" s="55"/>
      <c r="E182" s="55"/>
      <c r="F182" s="55"/>
      <c r="G182" s="55"/>
      <c r="H182" s="55"/>
      <c r="I182" s="55"/>
      <c r="J182" s="55"/>
      <c r="K182" s="55"/>
      <c r="L182" s="55"/>
      <c r="M182" s="55"/>
      <c r="N182" s="55"/>
      <c r="O182" s="55"/>
      <c r="P182" s="55"/>
      <c r="Q182" s="55"/>
      <c r="R182" s="397"/>
      <c r="S182" s="462" t="s">
        <v>406</v>
      </c>
      <c r="T182" s="463"/>
      <c r="U182" s="463"/>
      <c r="V182" s="463"/>
      <c r="W182" s="492">
        <v>0.99199999999999999</v>
      </c>
      <c r="X182" s="397"/>
      <c r="Y182" s="433"/>
      <c r="Z182" s="433"/>
      <c r="AA182" s="433"/>
      <c r="AB182" s="433"/>
      <c r="AC182" s="433"/>
    </row>
    <row r="183" spans="3:29" ht="14.1" customHeight="1" x14ac:dyDescent="0.2">
      <c r="C183" s="55"/>
      <c r="D183" s="55"/>
      <c r="E183" s="55"/>
      <c r="F183" s="55"/>
      <c r="G183" s="55"/>
      <c r="H183" s="55"/>
      <c r="I183" s="55"/>
      <c r="J183" s="55"/>
      <c r="K183" s="55"/>
      <c r="L183" s="55"/>
      <c r="M183" s="55"/>
      <c r="N183" s="55"/>
      <c r="O183" s="55"/>
      <c r="P183" s="55"/>
      <c r="Q183" s="55"/>
      <c r="R183" s="397"/>
      <c r="S183" s="397"/>
      <c r="T183" s="397"/>
      <c r="U183" s="397"/>
      <c r="V183" s="397"/>
      <c r="W183" s="438"/>
      <c r="X183" s="397"/>
      <c r="Y183" s="433"/>
      <c r="Z183" s="433"/>
      <c r="AA183" s="433"/>
      <c r="AB183" s="433"/>
      <c r="AC183" s="433"/>
    </row>
    <row r="184" spans="3:29" ht="14.1" customHeight="1" x14ac:dyDescent="0.2">
      <c r="C184" s="55"/>
      <c r="D184" s="55"/>
      <c r="E184" s="55"/>
      <c r="F184" s="55"/>
      <c r="G184" s="55"/>
      <c r="H184" s="55"/>
      <c r="I184" s="55"/>
      <c r="J184" s="55"/>
      <c r="K184" s="55"/>
      <c r="L184" s="55"/>
      <c r="M184" s="55"/>
      <c r="N184" s="55"/>
      <c r="O184" s="55"/>
      <c r="P184" s="55"/>
      <c r="Q184" s="55"/>
      <c r="R184" s="397"/>
      <c r="S184" s="397"/>
      <c r="T184" s="397"/>
      <c r="U184" s="397"/>
      <c r="V184" s="397"/>
      <c r="W184" s="438"/>
      <c r="X184" s="397"/>
      <c r="Y184" s="433"/>
      <c r="Z184" s="433"/>
      <c r="AA184" s="433"/>
      <c r="AB184" s="433"/>
      <c r="AC184" s="433"/>
    </row>
    <row r="185" spans="3:29" ht="14.1" customHeight="1" x14ac:dyDescent="0.2">
      <c r="C185" s="55"/>
      <c r="D185" s="55"/>
      <c r="E185" s="55"/>
      <c r="F185" s="55"/>
      <c r="G185" s="55"/>
      <c r="H185" s="55"/>
      <c r="I185" s="55"/>
      <c r="J185" s="55"/>
      <c r="K185" s="55"/>
      <c r="L185" s="55"/>
      <c r="M185" s="55"/>
      <c r="N185" s="55"/>
      <c r="O185" s="55"/>
      <c r="P185" s="55"/>
      <c r="Q185" s="55"/>
      <c r="R185" s="397"/>
      <c r="S185" s="397"/>
      <c r="T185" s="397"/>
      <c r="U185" s="397"/>
      <c r="V185" s="397"/>
      <c r="W185" s="438"/>
      <c r="X185" s="397"/>
      <c r="Y185" s="433"/>
      <c r="Z185" s="433"/>
      <c r="AA185" s="433"/>
      <c r="AB185" s="433"/>
      <c r="AC185" s="433"/>
    </row>
    <row r="186" spans="3:29" ht="14.1" customHeight="1" x14ac:dyDescent="0.2">
      <c r="C186" s="55"/>
      <c r="D186" s="55"/>
      <c r="E186" s="55"/>
      <c r="F186" s="55"/>
      <c r="G186" s="55"/>
      <c r="H186" s="55"/>
      <c r="I186" s="55"/>
      <c r="J186" s="55"/>
      <c r="K186" s="55"/>
      <c r="L186" s="55"/>
      <c r="M186" s="55"/>
      <c r="N186" s="55"/>
      <c r="O186" s="55"/>
      <c r="P186" s="55"/>
      <c r="Q186" s="55"/>
      <c r="R186" s="397"/>
      <c r="S186" s="397"/>
      <c r="T186" s="397"/>
      <c r="U186" s="397"/>
      <c r="V186" s="397"/>
      <c r="W186" s="438"/>
      <c r="X186" s="397"/>
      <c r="Y186" s="433"/>
      <c r="Z186" s="433"/>
      <c r="AA186" s="433"/>
      <c r="AB186" s="433"/>
      <c r="AC186" s="433"/>
    </row>
    <row r="187" spans="3:29" ht="14.1" customHeight="1" x14ac:dyDescent="0.2">
      <c r="C187" s="55"/>
      <c r="D187" s="55"/>
      <c r="E187" s="55"/>
      <c r="F187" s="55"/>
      <c r="G187" s="55"/>
      <c r="H187" s="55"/>
      <c r="I187" s="55"/>
      <c r="J187" s="55"/>
      <c r="K187" s="55"/>
      <c r="L187" s="55"/>
      <c r="M187" s="55"/>
      <c r="N187" s="55"/>
      <c r="O187" s="55"/>
      <c r="P187" s="55"/>
      <c r="Q187" s="55"/>
      <c r="R187" s="397"/>
      <c r="S187" s="397"/>
      <c r="T187" s="397"/>
      <c r="U187" s="397"/>
      <c r="V187" s="397"/>
      <c r="W187" s="397"/>
      <c r="X187" s="397"/>
      <c r="Y187" s="433"/>
      <c r="Z187" s="433"/>
      <c r="AA187" s="433"/>
      <c r="AB187" s="433"/>
      <c r="AC187" s="433"/>
    </row>
    <row r="188" spans="3:29" ht="14.1" customHeight="1" x14ac:dyDescent="0.2">
      <c r="C188" s="55"/>
      <c r="D188" s="55"/>
      <c r="E188" s="55"/>
      <c r="F188" s="55"/>
      <c r="G188" s="55"/>
      <c r="H188" s="55"/>
      <c r="I188" s="55"/>
      <c r="J188" s="55"/>
      <c r="K188" s="55"/>
      <c r="L188" s="55"/>
      <c r="M188" s="55"/>
      <c r="N188" s="55"/>
      <c r="O188" s="55"/>
      <c r="P188" s="55"/>
      <c r="Q188" s="55"/>
      <c r="R188" s="397"/>
    </row>
    <row r="189" spans="3:29" ht="14.1" customHeight="1" x14ac:dyDescent="0.2">
      <c r="C189" s="55"/>
      <c r="D189" s="55"/>
      <c r="E189" s="55"/>
      <c r="F189" s="55"/>
      <c r="G189" s="55"/>
      <c r="H189" s="55"/>
      <c r="I189" s="55"/>
      <c r="J189" s="55"/>
      <c r="K189" s="55"/>
      <c r="L189" s="55"/>
      <c r="M189" s="55"/>
      <c r="N189" s="55"/>
      <c r="O189" s="55"/>
      <c r="P189" s="55"/>
      <c r="Q189" s="55"/>
      <c r="R189" s="397"/>
    </row>
    <row r="190" spans="3:29" ht="14.1" customHeight="1" x14ac:dyDescent="0.2">
      <c r="C190" s="55"/>
      <c r="D190" s="55"/>
      <c r="E190" s="55"/>
      <c r="F190" s="55"/>
      <c r="G190" s="55"/>
      <c r="H190" s="55"/>
      <c r="I190" s="55"/>
      <c r="J190" s="55"/>
      <c r="K190" s="55"/>
      <c r="L190" s="55"/>
      <c r="M190" s="55"/>
      <c r="N190" s="55"/>
      <c r="O190" s="55"/>
      <c r="P190" s="55"/>
      <c r="Q190" s="55"/>
      <c r="R190" s="397"/>
    </row>
    <row r="191" spans="3:29" ht="14.1" customHeight="1" x14ac:dyDescent="0.2">
      <c r="C191" s="55"/>
      <c r="D191" s="55"/>
      <c r="E191" s="55"/>
      <c r="F191" s="55"/>
      <c r="G191" s="55"/>
      <c r="H191" s="55"/>
      <c r="I191" s="55"/>
      <c r="J191" s="55"/>
      <c r="K191" s="55"/>
      <c r="L191" s="55"/>
      <c r="M191" s="55"/>
      <c r="N191" s="55"/>
      <c r="O191" s="55"/>
      <c r="P191" s="55"/>
      <c r="Q191" s="55"/>
      <c r="R191" s="397"/>
    </row>
    <row r="192" spans="3:29" ht="14.1" customHeight="1" x14ac:dyDescent="0.2">
      <c r="C192" s="55"/>
      <c r="D192" s="55"/>
      <c r="E192" s="55"/>
      <c r="F192" s="55"/>
      <c r="G192" s="55"/>
      <c r="H192" s="55"/>
      <c r="I192" s="55"/>
      <c r="J192" s="55"/>
      <c r="K192" s="55"/>
      <c r="L192" s="55"/>
      <c r="M192" s="55"/>
      <c r="N192" s="55"/>
      <c r="O192" s="55"/>
      <c r="P192" s="55"/>
      <c r="Q192" s="55"/>
      <c r="R192" s="397"/>
    </row>
    <row r="194" spans="27:30" ht="14.1" customHeight="1" x14ac:dyDescent="0.2">
      <c r="AA194" s="210"/>
      <c r="AB194" s="50"/>
      <c r="AC194" s="50"/>
      <c r="AD194" s="50"/>
    </row>
    <row r="195" spans="27:30" ht="14.1" customHeight="1" x14ac:dyDescent="0.2">
      <c r="AA195" s="210"/>
      <c r="AB195" s="50"/>
      <c r="AC195" s="50"/>
      <c r="AD195" s="50"/>
    </row>
  </sheetData>
  <sheetProtection formatCells="0" formatColumns="0" formatRows="0" insertColumns="0" insertRows="0" insertHyperlinks="0" deleteColumns="0" deleteRows="0" sort="0" autoFilter="0" pivotTables="0"/>
  <mergeCells count="139">
    <mergeCell ref="BF64:BF66"/>
    <mergeCell ref="BG64:BG66"/>
    <mergeCell ref="AX64:AX66"/>
    <mergeCell ref="AY64:AY66"/>
    <mergeCell ref="AZ64:AZ66"/>
    <mergeCell ref="BA64:BA66"/>
    <mergeCell ref="BB64:BB66"/>
    <mergeCell ref="AH67:AH79"/>
    <mergeCell ref="AW81:AZ86"/>
    <mergeCell ref="AH82:AI82"/>
    <mergeCell ref="AJ82:AK82"/>
    <mergeCell ref="AL82:AM82"/>
    <mergeCell ref="AN82:AO82"/>
    <mergeCell ref="AH83:AI83"/>
    <mergeCell ref="AJ83:AK83"/>
    <mergeCell ref="AL83:AM83"/>
    <mergeCell ref="AN83:AO83"/>
    <mergeCell ref="AH84:AI84"/>
    <mergeCell ref="AJ84:AK84"/>
    <mergeCell ref="AL84:AM84"/>
    <mergeCell ref="AN84:AO84"/>
    <mergeCell ref="AH85:AI85"/>
    <mergeCell ref="AJ85:AK85"/>
    <mergeCell ref="AW64:AW66"/>
    <mergeCell ref="AP64:AP66"/>
    <mergeCell ref="AQ64:AQ66"/>
    <mergeCell ref="AR64:AR66"/>
    <mergeCell ref="BC64:BC66"/>
    <mergeCell ref="BD64:BD66"/>
    <mergeCell ref="BE64:BE66"/>
    <mergeCell ref="AH64:AI64"/>
    <mergeCell ref="AJ64:AJ66"/>
    <mergeCell ref="AK64:AK66"/>
    <mergeCell ref="AL64:AL66"/>
    <mergeCell ref="AM64:AM66"/>
    <mergeCell ref="AS64:AS66"/>
    <mergeCell ref="AT64:AT66"/>
    <mergeCell ref="AU64:AU66"/>
    <mergeCell ref="AV64:AV66"/>
    <mergeCell ref="BE45:BE47"/>
    <mergeCell ref="BF45:BF47"/>
    <mergeCell ref="BG45:BG47"/>
    <mergeCell ref="AH48:AH60"/>
    <mergeCell ref="AH63:AI63"/>
    <mergeCell ref="AZ45:AZ47"/>
    <mergeCell ref="BA45:BA47"/>
    <mergeCell ref="BB45:BB47"/>
    <mergeCell ref="BC45:BC47"/>
    <mergeCell ref="BD45:BD47"/>
    <mergeCell ref="AU45:AU47"/>
    <mergeCell ref="AV45:AV47"/>
    <mergeCell ref="AW45:AW47"/>
    <mergeCell ref="AX45:AX47"/>
    <mergeCell ref="AY45:AY47"/>
    <mergeCell ref="BF26:BF28"/>
    <mergeCell ref="BG26:BG28"/>
    <mergeCell ref="AH29:AH41"/>
    <mergeCell ref="AH44:AI44"/>
    <mergeCell ref="AH45:AI45"/>
    <mergeCell ref="AJ45:AJ47"/>
    <mergeCell ref="AK45:AK47"/>
    <mergeCell ref="AL45:AL47"/>
    <mergeCell ref="AM45:AM47"/>
    <mergeCell ref="AN45:AN47"/>
    <mergeCell ref="AO45:AO47"/>
    <mergeCell ref="AP45:AP47"/>
    <mergeCell ref="AQ45:AQ47"/>
    <mergeCell ref="AR45:AR47"/>
    <mergeCell ref="AS45:AS47"/>
    <mergeCell ref="AT45:AT47"/>
    <mergeCell ref="BA26:BA28"/>
    <mergeCell ref="BB26:BB28"/>
    <mergeCell ref="BC26:BC28"/>
    <mergeCell ref="BD26:BD28"/>
    <mergeCell ref="BE26:BE28"/>
    <mergeCell ref="AV26:AV28"/>
    <mergeCell ref="AW26:AW28"/>
    <mergeCell ref="AX26:AX28"/>
    <mergeCell ref="AY26:AY28"/>
    <mergeCell ref="AZ26:AZ28"/>
    <mergeCell ref="AQ26:AQ28"/>
    <mergeCell ref="AR26:AR28"/>
    <mergeCell ref="AS26:AS28"/>
    <mergeCell ref="AT26:AT28"/>
    <mergeCell ref="AU26:AU28"/>
    <mergeCell ref="AL26:AL28"/>
    <mergeCell ref="AM26:AM28"/>
    <mergeCell ref="AN26:AN28"/>
    <mergeCell ref="AO26:AO28"/>
    <mergeCell ref="AP26:AP28"/>
    <mergeCell ref="AP7:AP9"/>
    <mergeCell ref="BG7:BG9"/>
    <mergeCell ref="AX7:AX9"/>
    <mergeCell ref="AY7:AY9"/>
    <mergeCell ref="AZ7:AZ9"/>
    <mergeCell ref="BA7:BA9"/>
    <mergeCell ref="BB7:BB9"/>
    <mergeCell ref="AS7:AS9"/>
    <mergeCell ref="AT7:AT9"/>
    <mergeCell ref="AU7:AU9"/>
    <mergeCell ref="AV7:AV9"/>
    <mergeCell ref="AW7:AW9"/>
    <mergeCell ref="BC7:BC9"/>
    <mergeCell ref="BD7:BD9"/>
    <mergeCell ref="BE7:BE9"/>
    <mergeCell ref="BF7:BF9"/>
    <mergeCell ref="AQ7:AQ9"/>
    <mergeCell ref="AR7:AR9"/>
    <mergeCell ref="AH6:AI6"/>
    <mergeCell ref="AH7:AI7"/>
    <mergeCell ref="AJ7:AJ9"/>
    <mergeCell ref="AK7:AK9"/>
    <mergeCell ref="AL7:AL9"/>
    <mergeCell ref="AM7:AM9"/>
    <mergeCell ref="AN7:AN9"/>
    <mergeCell ref="AO7:AO9"/>
    <mergeCell ref="AH10:AH22"/>
    <mergeCell ref="T154:X154"/>
    <mergeCell ref="Y154:AC154"/>
    <mergeCell ref="AH25:AI25"/>
    <mergeCell ref="AH26:AI26"/>
    <mergeCell ref="AJ26:AJ28"/>
    <mergeCell ref="AK26:AK28"/>
    <mergeCell ref="AN64:AN66"/>
    <mergeCell ref="AO64:AO66"/>
    <mergeCell ref="AN87:AO87"/>
    <mergeCell ref="AH88:AI88"/>
    <mergeCell ref="AJ88:AK88"/>
    <mergeCell ref="AL88:AM88"/>
    <mergeCell ref="AN88:AO88"/>
    <mergeCell ref="AL85:AM85"/>
    <mergeCell ref="AN85:AO85"/>
    <mergeCell ref="AH86:AI86"/>
    <mergeCell ref="AJ86:AK86"/>
    <mergeCell ref="AL86:AM86"/>
    <mergeCell ref="AN86:AO86"/>
    <mergeCell ref="AH87:AI87"/>
    <mergeCell ref="AJ87:AK87"/>
    <mergeCell ref="AL87:AM87"/>
  </mergeCells>
  <conditionalFormatting sqref="B73:B83">
    <cfRule type="containsText" dxfId="1" priority="23" stopIfTrue="1" operator="containsText" text="Expired">
      <formula>NOT(ISERROR(SEARCH("Expired",B73)))</formula>
    </cfRule>
  </conditionalFormatting>
  <conditionalFormatting sqref="B44 B47:B67 B6:B42">
    <cfRule type="containsText" dxfId="0" priority="24" stopIfTrue="1" operator="containsText" text="Expired">
      <formula>NOT(ISERROR(SEARCH("Expired",B6)))</formula>
    </cfRule>
  </conditionalFormatting>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Info</vt:lpstr>
      <vt:lpstr>Data</vt:lpstr>
    </vt:vector>
  </TitlesOfParts>
  <Company>ARPANSA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alvesa</dc:creator>
  <cp:lastModifiedBy>Kate Francis</cp:lastModifiedBy>
  <cp:lastPrinted>2018-01-14T21:36:46Z</cp:lastPrinted>
  <dcterms:created xsi:type="dcterms:W3CDTF">2017-01-27T03:59:00Z</dcterms:created>
  <dcterms:modified xsi:type="dcterms:W3CDTF">2022-01-25T00:39:09Z</dcterms:modified>
</cp:coreProperties>
</file>